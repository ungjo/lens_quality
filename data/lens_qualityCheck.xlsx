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651a5637e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준표" sheetId="1" r:id="R3abf86d10f4843d2"/>
    <x:sheet xmlns:r="http://schemas.openxmlformats.org/officeDocument/2006/relationships" name="측정데이터" sheetId="2" r:id="Rc79daedb64b8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C58"/>
      </x:patternFill>
    </x:fill>
    <x:fill>
      <x:patternFill patternType="solid">
        <x:fgColor rgb="FFFFF3C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274E13"/>
      </x:font>
      <x:fill>
        <x:patternFill>
          <x:bgColor rgb="FFD9EAD3"/>
        </x:patternFill>
      </x:fill>
    </x:dxf>
    <x:dxf>
      <x:font>
        <x:b/>
        <x:color rgb="FFA32020"/>
      </x:font>
      <x:fill>
        <x:patternFill>
          <x:bgColor rgb="FFF4CCCC"/>
        </x:patternFill>
      </x:fill>
    </x:dxf>
    <x:dxf>
      <x:font>
        <x:b/>
        <x:color rgb="FFA3202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da03264914cc8" /><Relationship Type="http://schemas.openxmlformats.org/officeDocument/2006/relationships/theme" Target="/xl/theme/theme1.xml" Id="Rcbcd98d2fe58422e" /><Relationship Type="http://schemas.openxmlformats.org/officeDocument/2006/relationships/sharedStrings" Target="/xl/sharedStrings.xml" Id="R7a02c986b1644b67" /><Relationship Type="http://schemas.openxmlformats.org/officeDocument/2006/relationships/worksheet" Target="/xl/worksheets/sheet1.xml" Id="R3abf86d10f4843d2" /><Relationship Type="http://schemas.openxmlformats.org/officeDocument/2006/relationships/worksheet" Target="/xl/worksheets/sheet2.xml" Id="Rc79daedb64b8455a" /></Relationships>
</file>

<file path=xl/tables/table1.xml><?xml version="1.0" encoding="utf-8"?>
<x:table xmlns:x="http://schemas.openxmlformats.org/spreadsheetml/2006/main" id="1" name="Measurements" displayName="Measurements" ref="A1:AG31" headerRowCount="1" totalsRowCount="0" totalsRowShown="0">
  <x:tableColumns count="33">
    <x:tableColumn id="1" name="제품번호"/>
    <x:tableColumn id="2" name="소재종류"/>
    <x:tableColumn id="3" name="제품명"/>
    <x:tableColumn id="4" name="스크래치등급"/>
    <x:tableColumn id="5" name="기포이물질개수"/>
    <x:tableColumn id="6" name="코팅불량개수"/>
    <x:tableColumn id="7" name="굴절률"/>
    <x:tableColumn id="8" name="광투과율"/>
    <x:tableColumn id="9" name="왜곡률"/>
    <x:tableColumn id="10" name="렌즈직경"/>
    <x:tableColumn id="11" name="중심두께"/>
    <x:tableColumn id="12" name="가장자리두께"/>
    <x:tableColumn id="13" name="곡률반경"/>
    <x:tableColumn id="14" name="UV차단율"/>
    <x:tableColumn id="15" name="색상균일도"/>
    <x:tableColumn id="16" name="틴트농도"/>
    <x:tableColumn id="17" name="판정"/>
    <x:tableColumn id="18" name="판정사유"/>
    <x:tableColumn id="19" name="기존판정"/>
    <x:tableColumn id="20" name="기존불량사유"/>
    <x:tableColumn id="21" name="스크래치등급 검사"/>
    <x:tableColumn id="22" name="기포이물질개수 검사"/>
    <x:tableColumn id="23" name="코팅불량개수 검사"/>
    <x:tableColumn id="24" name="광투과율 검사"/>
    <x:tableColumn id="25" name="왜곡률 검사"/>
    <x:tableColumn id="26" name="렌즈직경 검사"/>
    <x:tableColumn id="27" name="중심두께 검사"/>
    <x:tableColumn id="28" name="가장자리두께 검사"/>
    <x:tableColumn id="29" name="곡률반경 검사"/>
    <x:tableColumn id="30" name="UV차단율 검사"/>
    <x:tableColumn id="31" name="색상균일도 검사"/>
    <x:tableColumn id="32" name="틴트농도 검사"/>
    <x:tableColumn id="33" name="굴절률 검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2418833fe745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2" hidden="0" customWidth="1"/>
    <x:col min="8" max="8" width="38" hidden="0" customWidth="1"/>
  </x:cols>
  <x:sheetData>
    <x:row r="1" ht="42" customHeight="1">
      <x:c r="A1" s="6" t="str">
        <x:v>검사항목</x:v>
      </x:c>
      <x:c r="B1" s="6" t="str">
        <x:v>적용소재</x:v>
      </x:c>
      <x:c r="C1" s="6" t="str">
        <x:v>단위</x:v>
      </x:c>
      <x:c r="D1" s="6" t="str">
        <x:v>하한</x:v>
      </x:c>
      <x:c r="E1" s="6" t="str">
        <x:v>목표치</x:v>
      </x:c>
      <x:c r="F1" s="6" t="str">
        <x:v>상한</x:v>
      </x:c>
      <x:c r="G1" s="6" t="str">
        <x:v>원본 범위</x:v>
      </x:c>
      <x:c r="H1" s="6" t="str">
        <x:v>설명</x:v>
      </x:c>
    </x:row>
    <x:row r="2" ht="26" customHeight="1">
      <x:c r="A2" s="2" t="str">
        <x:v>스크래치등급</x:v>
      </x:c>
      <x:c r="B2" s="2" t="str">
        <x:v>공통</x:v>
      </x:c>
      <x:c r="C2" s="2" t="str">
        <x:v>Grade</x:v>
      </x:c>
      <x:c r="D2" s="8" t="n">
        <x:v>0</x:v>
      </x:c>
      <x:c r="E2" s="8" t="n">
        <x:v>0</x:v>
      </x:c>
      <x:c r="F2" s="8" t="n">
        <x:v>2</x:v>
      </x:c>
      <x:c r="G2" s="2" t="str">
        <x:v>0 ~ 2</x:v>
      </x:c>
      <x:c r="H2" s="2" t="str">
        <x:v>원본 수치 유지</x:v>
      </x:c>
    </x:row>
    <x:row r="3" ht="26" customHeight="1">
      <x:c r="A3" s="2" t="str">
        <x:v>기포이물질개수</x:v>
      </x:c>
      <x:c r="B3" s="2" t="str">
        <x:v>공통</x:v>
      </x:c>
      <x:c r="C3" s="2" t="str">
        <x:v>ea</x:v>
      </x:c>
      <x:c r="D3" s="8" t="n">
        <x:v>0</x:v>
      </x:c>
      <x:c r="E3" s="8" t="n">
        <x:v>0</x:v>
      </x:c>
      <x:c r="F3" s="8" t="n">
        <x:v>1</x:v>
      </x:c>
      <x:c r="G3" s="2" t="str">
        <x:v>0 ~ 1</x:v>
      </x:c>
      <x:c r="H3" s="2" t="str">
        <x:v>원본 수치 유지</x:v>
      </x:c>
    </x:row>
    <x:row r="4" ht="26" customHeight="1">
      <x:c r="A4" s="2" t="str">
        <x:v>코팅불량개수</x:v>
      </x:c>
      <x:c r="B4" s="2" t="str">
        <x:v>공통</x:v>
      </x:c>
      <x:c r="C4" s="2" t="str">
        <x:v>ea</x:v>
      </x:c>
      <x:c r="D4" s="8" t="n">
        <x:v>0</x:v>
      </x:c>
      <x:c r="E4" s="8" t="n">
        <x:v>0</x:v>
      </x:c>
      <x:c r="F4" s="8" t="n">
        <x:v>1</x:v>
      </x:c>
      <x:c r="G4" s="2" t="str">
        <x:v>0 ~ 1</x:v>
      </x:c>
      <x:c r="H4" s="2" t="str">
        <x:v>원본 수치 유지</x:v>
      </x:c>
    </x:row>
    <x:row r="5" ht="26" customHeight="1">
      <x:c r="A5" s="2" t="str">
        <x:v>광투과율</x:v>
      </x:c>
      <x:c r="B5" s="2" t="str">
        <x:v>공통</x:v>
      </x:c>
      <x:c r="C5" s="2" t="str">
        <x:v>%</x:v>
      </x:c>
      <x:c r="D5" s="8" t="n">
        <x:v>85</x:v>
      </x:c>
      <x:c r="E5" s="8" t="n">
        <x:v>92</x:v>
      </x:c>
      <x:c r="F5" s="8" t="n">
        <x:v>100</x:v>
      </x:c>
      <x:c r="G5" s="2" t="str">
        <x:v>85 ~ 100</x:v>
      </x:c>
      <x:c r="H5" s="2" t="str">
        <x:v>원본 수치 유지</x:v>
      </x:c>
    </x:row>
    <x:row r="6" ht="26" customHeight="1">
      <x:c r="A6" s="2" t="str">
        <x:v>왜곡률</x:v>
      </x:c>
      <x:c r="B6" s="2" t="str">
        <x:v>공통</x:v>
      </x:c>
      <x:c r="C6" s="2" t="str">
        <x:v>%</x:v>
      </x:c>
      <x:c r="D6" s="8" t="n">
        <x:v>0</x:v>
      </x:c>
      <x:c r="E6" s="8" t="n">
        <x:v>0</x:v>
      </x:c>
      <x:c r="F6" s="8" t="n">
        <x:v>2</x:v>
      </x:c>
      <x:c r="G6" s="2" t="str">
        <x:v>0 ~ 2</x:v>
      </x:c>
      <x:c r="H6" s="2" t="str">
        <x:v>원본 수치 유지</x:v>
      </x:c>
    </x:row>
    <x:row r="7" ht="26" customHeight="1">
      <x:c r="A7" s="2" t="str">
        <x:v>렌즈직경</x:v>
      </x:c>
      <x:c r="B7" s="2" t="str">
        <x:v>공통</x:v>
      </x:c>
      <x:c r="C7" s="2" t="str">
        <x:v>mm</x:v>
      </x:c>
      <x:c r="D7" s="8" t="n">
        <x:v>70</x:v>
      </x:c>
      <x:c r="E7" s="8" t="n">
        <x:v>72</x:v>
      </x:c>
      <x:c r="F7" s="8" t="n">
        <x:v>74</x:v>
      </x:c>
      <x:c r="G7" s="2" t="str">
        <x:v>71.5 ~ 72.5</x:v>
      </x:c>
      <x:c r="H7" s="2" t="str">
        <x:v>테스트용 범위 확대</x:v>
      </x:c>
    </x:row>
    <x:row r="8" ht="26" customHeight="1">
      <x:c r="A8" s="2" t="str">
        <x:v>중심두께</x:v>
      </x:c>
      <x:c r="B8" s="2" t="str">
        <x:v>공통</x:v>
      </x:c>
      <x:c r="C8" s="2" t="str">
        <x:v>mm</x:v>
      </x:c>
      <x:c r="D8" s="8" t="n">
        <x:v>1.8</x:v>
      </x:c>
      <x:c r="E8" s="8" t="n">
        <x:v>2</x:v>
      </x:c>
      <x:c r="F8" s="8" t="n">
        <x:v>2.2</x:v>
      </x:c>
      <x:c r="G8" s="2" t="str">
        <x:v>1.9 ~ 2.1</x:v>
      </x:c>
      <x:c r="H8" s="2" t="str">
        <x:v>테스트용 범위 확대</x:v>
      </x:c>
    </x:row>
    <x:row r="9" ht="26" customHeight="1">
      <x:c r="A9" s="2" t="str">
        <x:v>가장자리두께</x:v>
      </x:c>
      <x:c r="B9" s="2" t="str">
        <x:v>공통</x:v>
      </x:c>
      <x:c r="C9" s="2" t="str">
        <x:v>mm</x:v>
      </x:c>
      <x:c r="D9" s="8" t="n">
        <x:v>1.3</x:v>
      </x:c>
      <x:c r="E9" s="8" t="n">
        <x:v>1.5</x:v>
      </x:c>
      <x:c r="F9" s="8" t="n">
        <x:v>2</x:v>
      </x:c>
      <x:c r="G9" s="2" t="str">
        <x:v>1.3 ~ 1.7</x:v>
      </x:c>
      <x:c r="H9" s="2" t="str">
        <x:v>테스트용 범위 확대</x:v>
      </x:c>
    </x:row>
    <x:row r="10" ht="26" customHeight="1">
      <x:c r="A10" s="2" t="str">
        <x:v>곡률반경</x:v>
      </x:c>
      <x:c r="B10" s="2" t="str">
        <x:v>공통</x:v>
      </x:c>
      <x:c r="C10" s="2" t="str">
        <x:v>mm</x:v>
      </x:c>
      <x:c r="D10" s="8" t="n">
        <x:v>74</x:v>
      </x:c>
      <x:c r="E10" s="8" t="n">
        <x:v>80</x:v>
      </x:c>
      <x:c r="F10" s="8" t="n">
        <x:v>88</x:v>
      </x:c>
      <x:c r="G10" s="2" t="str">
        <x:v>79.5 ~ 80.5</x:v>
      </x:c>
      <x:c r="H10" s="2" t="str">
        <x:v>테스트용 범위 확대</x:v>
      </x:c>
    </x:row>
    <x:row r="11" ht="26" customHeight="1">
      <x:c r="A11" s="2" t="str">
        <x:v>UV차단율</x:v>
      </x:c>
      <x:c r="B11" s="2" t="str">
        <x:v>공통</x:v>
      </x:c>
      <x:c r="C11" s="2" t="str">
        <x:v>%</x:v>
      </x:c>
      <x:c r="D11" s="8" t="n">
        <x:v>99</x:v>
      </x:c>
      <x:c r="E11" s="8" t="n">
        <x:v>100</x:v>
      </x:c>
      <x:c r="F11" s="8" t="n">
        <x:v>100</x:v>
      </x:c>
      <x:c r="G11" s="2" t="str">
        <x:v>99 ~ 100</x:v>
      </x:c>
      <x:c r="H11" s="2" t="str">
        <x:v>원본 수치 유지</x:v>
      </x:c>
    </x:row>
    <x:row r="12" ht="26" customHeight="1">
      <x:c r="A12" s="2" t="str">
        <x:v>색상균일도</x:v>
      </x:c>
      <x:c r="B12" s="2" t="str">
        <x:v>공통</x:v>
      </x:c>
      <x:c r="C12" s="2" t="str">
        <x:v>ΔE</x:v>
      </x:c>
      <x:c r="D12" s="8" t="n">
        <x:v>0</x:v>
      </x:c>
      <x:c r="E12" s="8" t="n">
        <x:v>0</x:v>
      </x:c>
      <x:c r="F12" s="8" t="n">
        <x:v>1.5</x:v>
      </x:c>
      <x:c r="G12" s="2" t="str">
        <x:v>0 ~ 1.5</x:v>
      </x:c>
      <x:c r="H12" s="2" t="str">
        <x:v>원본 수치 유지</x:v>
      </x:c>
    </x:row>
    <x:row r="13" ht="26" customHeight="1">
      <x:c r="A13" s="2" t="str">
        <x:v>틴트농도</x:v>
      </x:c>
      <x:c r="B13" s="2" t="str">
        <x:v>공통</x:v>
      </x:c>
      <x:c r="C13" s="2" t="str">
        <x:v>%</x:v>
      </x:c>
      <x:c r="D13" s="8" t="n">
        <x:v>17</x:v>
      </x:c>
      <x:c r="E13" s="8" t="n">
        <x:v>20</x:v>
      </x:c>
      <x:c r="F13" s="8" t="n">
        <x:v>23</x:v>
      </x:c>
      <x:c r="G13" s="2" t="str">
        <x:v>17 ~ 23</x:v>
      </x:c>
      <x:c r="H13" s="2" t="str">
        <x:v>원본 수치 유지</x:v>
      </x:c>
    </x:row>
    <x:row r="14" ht="26" customHeight="1">
      <x:c r="A14" s="2" t="str">
        <x:v>굴절률</x:v>
      </x:c>
      <x:c r="B14" s="2" t="str">
        <x:v>CR-39</x:v>
      </x:c>
      <x:c r="C14" s="2" t="str">
        <x:v>n</x:v>
      </x:c>
      <x:c r="D14" s="8" t="n">
        <x:v>1.495</x:v>
      </x:c>
      <x:c r="E14" s="8" t="n">
        <x:v>1.5</x:v>
      </x:c>
      <x:c r="F14" s="8" t="n">
        <x:v>1.505</x:v>
      </x:c>
      <x:c r="G14" s="2" t="str">
        <x:v>1.495 ~ 1.505</x:v>
      </x:c>
      <x:c r="H14" s="2" t="str">
        <x:v>원본 수치 유지</x:v>
      </x:c>
    </x:row>
    <x:row r="15" ht="26" customHeight="1">
      <x:c r="A15" s="2" t="str">
        <x:v>굴절률</x:v>
      </x:c>
      <x:c r="B15" s="2" t="str">
        <x:v>폴리카보네이트</x:v>
      </x:c>
      <x:c r="C15" s="2" t="str">
        <x:v>n</x:v>
      </x:c>
      <x:c r="D15" s="8" t="n">
        <x:v>1.58</x:v>
      </x:c>
      <x:c r="E15" s="8" t="n">
        <x:v>1.586</x:v>
      </x:c>
      <x:c r="F15" s="8" t="n">
        <x:v>1.6</x:v>
      </x:c>
      <x:c r="G15" s="2" t="str">
        <x:v>1.581 ~ 1.591</x:v>
      </x:c>
      <x:c r="H15" s="2" t="str">
        <x:v>테스트용 범위 확대</x:v>
      </x:c>
    </x:row>
    <x:row r="16" ht="26" customHeight="1">
      <x:c r="A16" s="2" t="str">
        <x:v>굴절률</x:v>
      </x:c>
      <x:c r="B16" s="2" t="str">
        <x:v>하이인덱스</x:v>
      </x:c>
      <x:c r="C16" s="2" t="str">
        <x:v>n</x:v>
      </x:c>
      <x:c r="D16" s="8" t="n">
        <x:v>1.66</x:v>
      </x:c>
      <x:c r="E16" s="8" t="n">
        <x:v>1.68</x:v>
      </x:c>
      <x:c r="F16" s="8" t="n">
        <x:v>1.7</x:v>
      </x:c>
      <x:c r="G16" s="2" t="str">
        <x:v>세부 소재 미확정</x:v>
      </x:c>
      <x:c r="H16" s="2" t="str">
        <x:v>테스트용 가상 소재군 기준</x:v>
      </x:c>
    </x:row>
    <x:row r="17" ht="26" customHeight="1">
      <x:c r="A17" s="2"/>
      <x:c r="B17" s="2"/>
      <x:c r="C17" s="2"/>
      <x:c r="D17" s="2"/>
      <x:c r="E17" s="2"/>
      <x:c r="F17" s="2"/>
      <x:c r="G17" s="2"/>
      <x:c r="H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</x:row>
    <x:row r="20" ht="26" customHeight="1">
      <x:c r="A20" s="2" t="str">
        <x:v>임시 모델 프로그램 개발용 기준</x:v>
      </x:c>
      <x:c r="B20" s="2"/>
      <x:c r="C20" s="2"/>
      <x:c r="D20" s="2"/>
      <x:c r="E20" s="2"/>
      <x:c r="F20" s="2"/>
      <x:c r="G20" s="2"/>
      <x:c r="H20" s="2"/>
    </x:row>
    <x:row r="21" ht="26" customHeight="1">
      <x:c r="A21" s="2" t="str">
        <x:v>실제 품질 인증·출하 판정용이 아니며 ISO 적합성을 의미하지 않습니다.</x:v>
      </x:c>
      <x:c r="B21" s="2"/>
      <x:c r="C21" s="2"/>
      <x:c r="D21" s="2"/>
      <x:c r="E21" s="2"/>
      <x:c r="F21" s="2"/>
      <x:c r="G21" s="2"/>
      <x:c r="H21" s="2"/>
    </x:row>
    <x:row r="22" ht="26" customHeight="1">
      <x:c r="A22" s="2" t="str">
        <x:v>하한 ≤ 측정값 ≤ 상한이면 통과. 목표치는 판정에 사용하지 않습니다.</x:v>
      </x:c>
      <x:c r="B22" s="2"/>
      <x:c r="C22" s="2"/>
      <x:c r="D22" s="2"/>
      <x:c r="E22" s="2"/>
      <x:c r="F22" s="2"/>
      <x:c r="G22" s="2"/>
      <x:c r="H22" s="2"/>
    </x:row>
    <x:row r="23" ht="26" customHeight="1">
      <x:c r="A23" s="2" t="str">
        <x:v>원본 측정값 유지. 기존 판정은 S:T, 항목별 검사는 U:AG입니다.</x:v>
      </x:c>
      <x:c r="B23" s="2"/>
      <x:c r="C23" s="2"/>
      <x:c r="D23" s="2"/>
      <x:c r="E23" s="2"/>
      <x:c r="F23" s="2"/>
      <x:c r="G23" s="2"/>
      <x:c r="H23" s="2"/>
    </x:row>
    <x:row r="24" ht="26" customHeight="1">
      <x:c r="A24" s="2" t="str">
        <x:v>출처: lens_qualityCheck.xlsx. 하이인덱스는 테스트용 신규 기준입니다.</x:v>
      </x:c>
      <x:c r="B24" s="2"/>
      <x:c r="C24" s="2"/>
      <x:c r="D24" s="2"/>
      <x:c r="E24" s="2"/>
      <x:c r="F24" s="2"/>
      <x:c r="G24" s="2"/>
      <x:c r="H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</x:row>
    <x:row r="26" ht="26" customHeight="1">
      <x:c r="A26" s="2" t="str">
        <x:v>전체</x:v>
      </x:c>
      <x:c r="B26" s="2" t="n">
        <x:v>30</x:v>
      </x:c>
      <x:c r="C26" s="2"/>
      <x:c r="D26" s="2"/>
      <x:c r="E26" s="2"/>
      <x:c r="F26" s="2"/>
      <x:c r="G26" s="2"/>
      <x:c r="H26" s="2"/>
    </x:row>
    <x:row r="27" ht="26" customHeight="1">
      <x:c r="A27" s="2" t="str">
        <x:v>합격</x:v>
      </x:c>
      <x:c r="B27" s="2" t="n">
        <x:f>COUNTIFS('측정데이터'!Q2:Q31,"합격")</x:f>
        <x:v>14</x:v>
      </x:c>
      <x:c r="C27" s="2"/>
      <x:c r="D27" s="2"/>
      <x:c r="E27" s="2"/>
      <x:c r="F27" s="2"/>
      <x:c r="G27" s="2"/>
      <x:c r="H27" s="2"/>
    </x:row>
    <x:row r="28" ht="26" customHeight="1">
      <x:c r="A28" s="2" t="str">
        <x:v>불합격</x:v>
      </x:c>
      <x:c r="B28" s="2" t="n">
        <x:f>COUNTIFS('측정데이터'!Q2:Q31,"불합격")</x:f>
        <x:v>16</x:v>
      </x:c>
      <x:c r="C28" s="2"/>
      <x:c r="D28" s="2"/>
      <x:c r="E28" s="2"/>
      <x:c r="F28" s="2"/>
      <x:c r="G28" s="2"/>
      <x:c r="H2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68" hidden="0" customWidth="1"/>
    <x:col min="19" max="19" width="15" hidden="0" customWidth="1"/>
    <x:col min="20" max="20" width="38" hidden="0" customWidth="1"/>
    <x:col min="21" max="21" width="50" hidden="0" customWidth="1"/>
    <x:col min="22" max="22" width="50" hidden="0" customWidth="1"/>
    <x:col min="23" max="23" width="50" hidden="0" customWidth="1"/>
    <x:col min="24" max="24" width="50" hidden="0" customWidth="1"/>
    <x:col min="25" max="25" width="50" hidden="0" customWidth="1"/>
    <x:col min="26" max="26" width="50" hidden="0" customWidth="1"/>
    <x:col min="27" max="27" width="50" hidden="0" customWidth="1"/>
    <x:col min="28" max="28" width="50" hidden="0" customWidth="1"/>
    <x:col min="29" max="29" width="50" hidden="0" customWidth="1"/>
    <x:col min="30" max="30" width="50" hidden="0" customWidth="1"/>
    <x:col min="31" max="31" width="50" hidden="0" customWidth="1"/>
    <x:col min="32" max="32" width="50" hidden="0" customWidth="1"/>
    <x:col min="33" max="33" width="50" hidden="0" customWidth="1"/>
  </x:cols>
  <x:sheetData>
    <x:row r="1" ht="42" customHeight="1">
      <x:c r="A1" s="6" t="str">
        <x:v>제품번호</x:v>
      </x:c>
      <x:c r="B1" s="6" t="str">
        <x:v>소재종류</x:v>
      </x:c>
      <x:c r="C1" s="6" t="str">
        <x:v>제품명</x:v>
      </x:c>
      <x:c r="D1" s="6" t="str">
        <x:v>스크래치등급</x:v>
      </x:c>
      <x:c r="E1" s="6" t="str">
        <x:v>기포이물질개수</x:v>
      </x:c>
      <x:c r="F1" s="6" t="str">
        <x:v>코팅불량개수</x:v>
      </x:c>
      <x:c r="G1" s="6" t="str">
        <x:v>굴절률</x:v>
      </x:c>
      <x:c r="H1" s="6" t="str">
        <x:v>광투과율</x:v>
      </x:c>
      <x:c r="I1" s="6" t="str">
        <x:v>왜곡률</x:v>
      </x:c>
      <x:c r="J1" s="6" t="str">
        <x:v>렌즈직경</x:v>
      </x:c>
      <x:c r="K1" s="6" t="str">
        <x:v>중심두께</x:v>
      </x:c>
      <x:c r="L1" s="6" t="str">
        <x:v>가장자리두께</x:v>
      </x:c>
      <x:c r="M1" s="6" t="str">
        <x:v>곡률반경</x:v>
      </x:c>
      <x:c r="N1" s="6" t="str">
        <x:v>UV차단율</x:v>
      </x:c>
      <x:c r="O1" s="6" t="str">
        <x:v>색상균일도</x:v>
      </x:c>
      <x:c r="P1" s="6" t="str">
        <x:v>틴트농도</x:v>
      </x:c>
      <x:c r="Q1" s="6" t="str">
        <x:v>판정</x:v>
      </x:c>
      <x:c r="R1" s="6" t="str">
        <x:v>판정사유</x:v>
      </x:c>
      <x:c r="S1" s="6" t="str">
        <x:v>기존판정</x:v>
      </x:c>
      <x:c r="T1" s="6" t="str">
        <x:v>기존불량사유</x:v>
      </x:c>
      <x:c r="U1" s="6" t="str">
        <x:v>스크래치등급 검사</x:v>
      </x:c>
      <x:c r="V1" s="6" t="str">
        <x:v>기포이물질개수 검사</x:v>
      </x:c>
      <x:c r="W1" s="6" t="str">
        <x:v>코팅불량개수 검사</x:v>
      </x:c>
      <x:c r="X1" s="6" t="str">
        <x:v>광투과율 검사</x:v>
      </x:c>
      <x:c r="Y1" s="6" t="str">
        <x:v>왜곡률 검사</x:v>
      </x:c>
      <x:c r="Z1" s="6" t="str">
        <x:v>렌즈직경 검사</x:v>
      </x:c>
      <x:c r="AA1" s="6" t="str">
        <x:v>중심두께 검사</x:v>
      </x:c>
      <x:c r="AB1" s="6" t="str">
        <x:v>가장자리두께 검사</x:v>
      </x:c>
      <x:c r="AC1" s="6" t="str">
        <x:v>곡률반경 검사</x:v>
      </x:c>
      <x:c r="AD1" s="6" t="str">
        <x:v>UV차단율 검사</x:v>
      </x:c>
      <x:c r="AE1" s="6" t="str">
        <x:v>색상균일도 검사</x:v>
      </x:c>
      <x:c r="AF1" s="6" t="str">
        <x:v>틴트농도 검사</x:v>
      </x:c>
      <x:c r="AG1" s="6" t="str">
        <x:v>굴절률 검사</x:v>
      </x:c>
    </x:row>
    <x:row r="2" ht="76" customHeight="1">
      <x:c r="A2" s="2" t="str">
        <x:v>L001</x:v>
      </x:c>
      <x:c r="B2" s="10" t="str">
        <x:v>CR-39</x:v>
      </x:c>
      <x:c r="C2" s="10" t="str">
        <x:v>루체나 스탠다드 016</x:v>
      </x:c>
      <x:c r="D2" s="7" t="n">
        <x:v>1</x:v>
      </x:c>
      <x:c r="E2" s="7" t="n">
        <x:v>0</x:v>
      </x:c>
      <x:c r="F2" s="7" t="n">
        <x:v>1</x:v>
      </x:c>
      <x:c r="G2" s="7" t="n">
        <x:v>1.504</x:v>
      </x:c>
      <x:c r="H2" s="7" t="n">
        <x:v>90.5</x:v>
      </x:c>
      <x:c r="I2" s="7" t="n">
        <x:v>1</x:v>
      </x:c>
      <x:c r="J2" s="7" t="n">
        <x:v>72.22</x:v>
      </x:c>
      <x:c r="K2" s="7" t="n">
        <x:v>2.03</x:v>
      </x:c>
      <x:c r="L2" s="7" t="n">
        <x:v>1.51</x:v>
      </x:c>
      <x:c r="M2" s="7" t="n">
        <x:v>84.1</x:v>
      </x:c>
      <x:c r="N2" s="7" t="n">
        <x:v>99.2</x:v>
      </x:c>
      <x:c r="O2" s="7" t="n">
        <x:v>0.93</x:v>
      </x:c>
      <x:c r="P2" s="7" t="n">
        <x:v>17.7</x:v>
      </x:c>
      <x:c r="Q2" s="2" t="str">
        <x:f>IF(OR(LEFT(U2,3)="불합격",LEFT(V2,3)="불합격",LEFT(W2,3)="불합격",LEFT(X2,3)="불합격",LEFT(Y2,3)="불합격",LEFT(Z2,3)="불합격",LEFT(AA2,3)="불합격",LEFT(AB2,3)="불합격",LEFT(AC2,3)="불합격",LEFT(AD2,3)="불합격",LEFT(AE2,3)="불합격",LEFT(AF2,3)="불합격",LEFT(AG2,3)="불합격"),"불합격",IF(AND(U2="통과",V2="통과",W2="통과",X2="통과",Y2="통과",Z2="통과",AA2="통과",AB2="통과",AC2="통과",AD2="통과",AE2="통과",AF2="통과",AG2="통과"),"합격","판정불가"))</x:f>
        <x:v>합격</x:v>
      </x:c>
      <x:c r="R2" s="9" t="str">
        <x:f>IF(Q2="합격","13개 항목 모두 허용범위 이내",IF(U2="통과","",U2&amp;CHAR(10))&amp;IF(V2="통과","",V2&amp;CHAR(10))&amp;IF(W2="통과","",W2&amp;CHAR(10))&amp;IF(X2="통과","",X2&amp;CHAR(10))&amp;IF(Y2="통과","",Y2&amp;CHAR(10))&amp;IF(Z2="통과","",Z2&amp;CHAR(10))&amp;IF(AA2="통과","",AA2&amp;CHAR(10))&amp;IF(AB2="통과","",AB2&amp;CHAR(10))&amp;IF(AC2="통과","",AC2&amp;CHAR(10))&amp;IF(AD2="통과","",AD2&amp;CHAR(10))&amp;IF(AE2="통과","",AE2&amp;CHAR(10))&amp;IF(AF2="통과","",AF2&amp;CHAR(10))&amp;IF(AG2="통과","",AG2&amp;CHAR(10)))</x:f>
        <x:v>13개 항목 모두 허용범위 이내</x:v>
      </x:c>
      <x:c r="S2" s="2" t="str">
        <x:v>불량</x:v>
      </x:c>
      <x:c r="T2" s="9" t="str">
        <x:v>경도지수(소재기준)</x:v>
      </x:c>
      <x:c r="U2" s="2" t="str">
        <x:f>IF(NOT(ISNUMBER(D2)),"판정불가: 스크래치등급 누락",IF(AND(D2&gt;='기준표'!$D$2,D2&lt;='기준표'!$F$2),"통과","불합격: 스크래치등급 "&amp;D2&amp;" (허용 "&amp;'기준표'!$D$2&amp;"~"&amp;'기준표'!$F$2&amp;")"))</x:f>
        <x:v>통과</x:v>
      </x:c>
      <x:c r="V2" s="2" t="str">
        <x:f>IF(NOT(ISNUMBER(E2)),"판정불가: 기포이물질개수 누락",IF(AND(E2&gt;='기준표'!$D$3,E2&lt;='기준표'!$F$3),"통과","불합격: 기포이물질개수 "&amp;E2&amp;" (허용 "&amp;'기준표'!$D$3&amp;"~"&amp;'기준표'!$F$3&amp;")"))</x:f>
        <x:v>통과</x:v>
      </x:c>
      <x:c r="W2" s="2" t="str">
        <x:f>IF(NOT(ISNUMBER(F2)),"판정불가: 코팅불량개수 누락",IF(AND(F2&gt;='기준표'!$D$4,F2&lt;='기준표'!$F$4),"통과","불합격: 코팅불량개수 "&amp;F2&amp;" (허용 "&amp;'기준표'!$D$4&amp;"~"&amp;'기준표'!$F$4&amp;")"))</x:f>
        <x:v>통과</x:v>
      </x:c>
      <x:c r="X2" s="2" t="str">
        <x:f>IF(NOT(ISNUMBER(H2)),"판정불가: 광투과율 누락",IF(AND(H2&gt;='기준표'!$D$5,H2&lt;='기준표'!$F$5),"통과","불합격: 광투과율 "&amp;H2&amp;" (허용 "&amp;'기준표'!$D$5&amp;"~"&amp;'기준표'!$F$5&amp;")"))</x:f>
        <x:v>통과</x:v>
      </x:c>
      <x:c r="Y2" s="2" t="str">
        <x:f>IF(NOT(ISNUMBER(I2)),"판정불가: 왜곡률 누락",IF(AND(I2&gt;='기준표'!$D$6,I2&lt;='기준표'!$F$6),"통과","불합격: 왜곡률 "&amp;I2&amp;" (허용 "&amp;'기준표'!$D$6&amp;"~"&amp;'기준표'!$F$6&amp;")"))</x:f>
        <x:v>통과</x:v>
      </x:c>
      <x:c r="Z2" s="2" t="str">
        <x:f>IF(NOT(ISNUMBER(J2)),"판정불가: 렌즈직경 누락",IF(AND(J2&gt;='기준표'!$D$7,J2&lt;='기준표'!$F$7),"통과","불합격: 렌즈직경 "&amp;J2&amp;" (허용 "&amp;'기준표'!$D$7&amp;"~"&amp;'기준표'!$F$7&amp;")"))</x:f>
        <x:v>통과</x:v>
      </x:c>
      <x:c r="AA2" s="2" t="str">
        <x:f>IF(NOT(ISNUMBER(K2)),"판정불가: 중심두께 누락",IF(AND(K2&gt;='기준표'!$D$8,K2&lt;='기준표'!$F$8),"통과","불합격: 중심두께 "&amp;K2&amp;" (허용 "&amp;'기준표'!$D$8&amp;"~"&amp;'기준표'!$F$8&amp;")"))</x:f>
        <x:v>통과</x:v>
      </x:c>
      <x:c r="AB2" s="2" t="str">
        <x:f>IF(NOT(ISNUMBER(L2)),"판정불가: 가장자리두께 누락",IF(AND(L2&gt;='기준표'!$D$9,L2&lt;='기준표'!$F$9),"통과","불합격: 가장자리두께 "&amp;L2&amp;" (허용 "&amp;'기준표'!$D$9&amp;"~"&amp;'기준표'!$F$9&amp;")"))</x:f>
        <x:v>통과</x:v>
      </x:c>
      <x:c r="AC2" s="2" t="str">
        <x:f>IF(NOT(ISNUMBER(M2)),"판정불가: 곡률반경 누락",IF(AND(M2&gt;='기준표'!$D$10,M2&lt;='기준표'!$F$10),"통과","불합격: 곡률반경 "&amp;M2&amp;" (허용 "&amp;'기준표'!$D$10&amp;"~"&amp;'기준표'!$F$10&amp;")"))</x:f>
        <x:v>통과</x:v>
      </x:c>
      <x:c r="AD2" s="2" t="str">
        <x:f>IF(NOT(ISNUMBER(N2)),"판정불가: UV차단율 누락",IF(AND(N2&gt;='기준표'!$D$11,N2&lt;='기준표'!$F$11),"통과","불합격: UV차단율 "&amp;N2&amp;" (허용 "&amp;'기준표'!$D$11&amp;"~"&amp;'기준표'!$F$11&amp;")"))</x:f>
        <x:v>통과</x:v>
      </x:c>
      <x:c r="AE2" s="2" t="str">
        <x:f>IF(NOT(ISNUMBER(O2)),"판정불가: 색상균일도 누락",IF(AND(O2&gt;='기준표'!$D$12,O2&lt;='기준표'!$F$12),"통과","불합격: 색상균일도 "&amp;O2&amp;" (허용 "&amp;'기준표'!$D$12&amp;"~"&amp;'기준표'!$F$12&amp;")"))</x:f>
        <x:v>통과</x:v>
      </x:c>
      <x:c r="AF2" s="2" t="str">
        <x:f>IF(NOT(ISNUMBER(P2)),"판정불가: 틴트농도 누락",IF(AND(P2&gt;='기준표'!$D$13,P2&lt;='기준표'!$F$13),"통과","불합격: 틴트농도 "&amp;P2&amp;" (허용 "&amp;'기준표'!$D$13&amp;"~"&amp;'기준표'!$F$13&amp;")"))</x:f>
        <x:v>통과</x:v>
      </x:c>
      <x:c r="AG2" s="2" t="str">
        <x:f>IF(IF(B2="CR-39",14,IF(B2="폴리카보네이트",15,IF(B2="하이인덱스",16,0)))=0,"판정불가: 소재 기준 없음",IF(NOT(ISNUMBER(G2)),"판정불가: 굴절률 누락",IF(AND(G2&gt;=INDEX('기준표'!$D$1:$D$16,IF(B2="CR-39",14,IF(B2="폴리카보네이트",15,IF(B2="하이인덱스",16,0)))),G2&lt;=INDEX('기준표'!$F$1:$F$16,IF(B2="CR-39",14,IF(B2="폴리카보네이트",15,IF(B2="하이인덱스",16,0))))),"통과","불합격: 굴절률 "&amp;G2&amp;" (허용 "&amp;INDEX('기준표'!$D$1:$D$16,IF(B2="CR-39",14,IF(B2="폴리카보네이트",15,IF(B2="하이인덱스",16,0))))&amp;"~"&amp;INDEX('기준표'!$F$1:$F$16,IF(B2="CR-39",14,IF(B2="폴리카보네이트",15,IF(B2="하이인덱스",16,0))))&amp;")")))</x:f>
        <x:v>통과</x:v>
      </x:c>
    </x:row>
    <x:row r="3" ht="76" customHeight="1">
      <x:c r="A3" s="2" t="str">
        <x:v>L002</x:v>
      </x:c>
      <x:c r="B3" s="10" t="str">
        <x:v>CR-39</x:v>
      </x:c>
      <x:c r="C3" s="10" t="str">
        <x:v>선샤인가드 UV프로텍트 015</x:v>
      </x:c>
      <x:c r="D3" s="7" t="n">
        <x:v>1</x:v>
      </x:c>
      <x:c r="E3" s="7" t="n">
        <x:v>0</x:v>
      </x:c>
      <x:c r="F3" s="7" t="n">
        <x:v>0</x:v>
      </x:c>
      <x:c r="G3" s="7" t="n">
        <x:v>1.496</x:v>
      </x:c>
      <x:c r="H3" s="7" t="n">
        <x:v>88.2</x:v>
      </x:c>
      <x:c r="I3" s="7" t="n">
        <x:v>1.3</x:v>
      </x:c>
      <x:c r="J3" s="7" t="n">
        <x:v>69.61</x:v>
      </x:c>
      <x:c r="K3" s="7" t="n">
        <x:v>1.97</x:v>
      </x:c>
      <x:c r="L3" s="7" t="n">
        <x:v>1.61</x:v>
      </x:c>
      <x:c r="M3" s="7" t="n">
        <x:v>87.6</x:v>
      </x:c>
      <x:c r="N3" s="7" t="n">
        <x:v>99.5</x:v>
      </x:c>
      <x:c r="O3" s="7" t="n">
        <x:v>1.13</x:v>
      </x:c>
      <x:c r="P3" s="7" t="n">
        <x:v>19</x:v>
      </x:c>
      <x:c r="Q3" s="2" t="str">
        <x:f>IF(OR(LEFT(U3,3)="불합격",LEFT(V3,3)="불합격",LEFT(W3,3)="불합격",LEFT(X3,3)="불합격",LEFT(Y3,3)="불합격",LEFT(Z3,3)="불합격",LEFT(AA3,3)="불합격",LEFT(AB3,3)="불합격",LEFT(AC3,3)="불합격",LEFT(AD3,3)="불합격",LEFT(AE3,3)="불합격",LEFT(AF3,3)="불합격",LEFT(AG3,3)="불합격"),"불합격",IF(AND(U3="통과",V3="통과",W3="통과",X3="통과",Y3="통과",Z3="통과",AA3="통과",AB3="통과",AC3="통과",AD3="통과",AE3="통과",AF3="통과",AG3="통과"),"합격","판정불가"))</x:f>
        <x:v>불합격</x:v>
      </x:c>
      <x:c r="R3" s="9" t="str">
        <x:f>IF(Q3="합격","13개 항목 모두 허용범위 이내",IF(U3="통과","",U3&amp;CHAR(10))&amp;IF(V3="통과","",V3&amp;CHAR(10))&amp;IF(W3="통과","",W3&amp;CHAR(10))&amp;IF(X3="통과","",X3&amp;CHAR(10))&amp;IF(Y3="통과","",Y3&amp;CHAR(10))&amp;IF(Z3="통과","",Z3&amp;CHAR(10))&amp;IF(AA3="통과","",AA3&amp;CHAR(10))&amp;IF(AB3="통과","",AB3&amp;CHAR(10))&amp;IF(AC3="통과","",AC3&amp;CHAR(10))&amp;IF(AD3="통과","",AD3&amp;CHAR(10))&amp;IF(AE3="통과","",AE3&amp;CHAR(10))&amp;IF(AF3="통과","",AF3&amp;CHAR(10))&amp;IF(AG3="통과","",AG3&amp;CHAR(10)))</x:f>
        <x:v>불합격: 렌즈직경 69.61 (허용 70~74)
</x:v>
      </x:c>
      <x:c r="S3" s="2" t="str">
        <x:v>불량</x:v>
      </x:c>
      <x:c r="T3" s="9" t="str">
        <x:v>렌즈직경</x:v>
      </x:c>
      <x:c r="U3" s="2" t="str">
        <x:f>IF(NOT(ISNUMBER(D3)),"판정불가: 스크래치등급 누락",IF(AND(D3&gt;='기준표'!$D$2,D3&lt;='기준표'!$F$2),"통과","불합격: 스크래치등급 "&amp;D3&amp;" (허용 "&amp;'기준표'!$D$2&amp;"~"&amp;'기준표'!$F$2&amp;")"))</x:f>
        <x:v>통과</x:v>
      </x:c>
      <x:c r="V3" s="2" t="str">
        <x:f>IF(NOT(ISNUMBER(E3)),"판정불가: 기포이물질개수 누락",IF(AND(E3&gt;='기준표'!$D$3,E3&lt;='기준표'!$F$3),"통과","불합격: 기포이물질개수 "&amp;E3&amp;" (허용 "&amp;'기준표'!$D$3&amp;"~"&amp;'기준표'!$F$3&amp;")"))</x:f>
        <x:v>통과</x:v>
      </x:c>
      <x:c r="W3" s="2" t="str">
        <x:f>IF(NOT(ISNUMBER(F3)),"판정불가: 코팅불량개수 누락",IF(AND(F3&gt;='기준표'!$D$4,F3&lt;='기준표'!$F$4),"통과","불합격: 코팅불량개수 "&amp;F3&amp;" (허용 "&amp;'기준표'!$D$4&amp;"~"&amp;'기준표'!$F$4&amp;")"))</x:f>
        <x:v>통과</x:v>
      </x:c>
      <x:c r="X3" s="2" t="str">
        <x:f>IF(NOT(ISNUMBER(H3)),"판정불가: 광투과율 누락",IF(AND(H3&gt;='기준표'!$D$5,H3&lt;='기준표'!$F$5),"통과","불합격: 광투과율 "&amp;H3&amp;" (허용 "&amp;'기준표'!$D$5&amp;"~"&amp;'기준표'!$F$5&amp;")"))</x:f>
        <x:v>통과</x:v>
      </x:c>
      <x:c r="Y3" s="2" t="str">
        <x:f>IF(NOT(ISNUMBER(I3)),"판정불가: 왜곡률 누락",IF(AND(I3&gt;='기준표'!$D$6,I3&lt;='기준표'!$F$6),"통과","불합격: 왜곡률 "&amp;I3&amp;" (허용 "&amp;'기준표'!$D$6&amp;"~"&amp;'기준표'!$F$6&amp;")"))</x:f>
        <x:v>통과</x:v>
      </x:c>
      <x:c r="Z3" s="2" t="str">
        <x:f>IF(NOT(ISNUMBER(J3)),"판정불가: 렌즈직경 누락",IF(AND(J3&gt;='기준표'!$D$7,J3&lt;='기준표'!$F$7),"통과","불합격: 렌즈직경 "&amp;J3&amp;" (허용 "&amp;'기준표'!$D$7&amp;"~"&amp;'기준표'!$F$7&amp;")"))</x:f>
        <x:v>불합격: 렌즈직경 69.61 (허용 70~74)</x:v>
      </x:c>
      <x:c r="AA3" s="2" t="str">
        <x:f>IF(NOT(ISNUMBER(K3)),"판정불가: 중심두께 누락",IF(AND(K3&gt;='기준표'!$D$8,K3&lt;='기준표'!$F$8),"통과","불합격: 중심두께 "&amp;K3&amp;" (허용 "&amp;'기준표'!$D$8&amp;"~"&amp;'기준표'!$F$8&amp;")"))</x:f>
        <x:v>통과</x:v>
      </x:c>
      <x:c r="AB3" s="2" t="str">
        <x:f>IF(NOT(ISNUMBER(L3)),"판정불가: 가장자리두께 누락",IF(AND(L3&gt;='기준표'!$D$9,L3&lt;='기준표'!$F$9),"통과","불합격: 가장자리두께 "&amp;L3&amp;" (허용 "&amp;'기준표'!$D$9&amp;"~"&amp;'기준표'!$F$9&amp;")"))</x:f>
        <x:v>통과</x:v>
      </x:c>
      <x:c r="AC3" s="2" t="str">
        <x:f>IF(NOT(ISNUMBER(M3)),"판정불가: 곡률반경 누락",IF(AND(M3&gt;='기준표'!$D$10,M3&lt;='기준표'!$F$10),"통과","불합격: 곡률반경 "&amp;M3&amp;" (허용 "&amp;'기준표'!$D$10&amp;"~"&amp;'기준표'!$F$10&amp;")"))</x:f>
        <x:v>통과</x:v>
      </x:c>
      <x:c r="AD3" s="2" t="str">
        <x:f>IF(NOT(ISNUMBER(N3)),"판정불가: UV차단율 누락",IF(AND(N3&gt;='기준표'!$D$11,N3&lt;='기준표'!$F$11),"통과","불합격: UV차단율 "&amp;N3&amp;" (허용 "&amp;'기준표'!$D$11&amp;"~"&amp;'기준표'!$F$11&amp;")"))</x:f>
        <x:v>통과</x:v>
      </x:c>
      <x:c r="AE3" s="2" t="str">
        <x:f>IF(NOT(ISNUMBER(O3)),"판정불가: 색상균일도 누락",IF(AND(O3&gt;='기준표'!$D$12,O3&lt;='기준표'!$F$12),"통과","불합격: 색상균일도 "&amp;O3&amp;" (허용 "&amp;'기준표'!$D$12&amp;"~"&amp;'기준표'!$F$12&amp;")"))</x:f>
        <x:v>통과</x:v>
      </x:c>
      <x:c r="AF3" s="2" t="str">
        <x:f>IF(NOT(ISNUMBER(P3)),"판정불가: 틴트농도 누락",IF(AND(P3&gt;='기준표'!$D$13,P3&lt;='기준표'!$F$13),"통과","불합격: 틴트농도 "&amp;P3&amp;" (허용 "&amp;'기준표'!$D$13&amp;"~"&amp;'기준표'!$F$13&amp;")"))</x:f>
        <x:v>통과</x:v>
      </x:c>
      <x:c r="AG3" s="2" t="str">
        <x:f>IF(IF(B3="CR-39",14,IF(B3="폴리카보네이트",15,IF(B3="하이인덱스",16,0)))=0,"판정불가: 소재 기준 없음",IF(NOT(ISNUMBER(G3)),"판정불가: 굴절률 누락",IF(AND(G3&gt;=INDEX('기준표'!$D$1:$D$16,IF(B3="CR-39",14,IF(B3="폴리카보네이트",15,IF(B3="하이인덱스",16,0)))),G3&lt;=INDEX('기준표'!$F$1:$F$16,IF(B3="CR-39",14,IF(B3="폴리카보네이트",15,IF(B3="하이인덱스",16,0))))),"통과","불합격: 굴절률 "&amp;G3&amp;" (허용 "&amp;INDEX('기준표'!$D$1:$D$16,IF(B3="CR-39",14,IF(B3="폴리카보네이트",15,IF(B3="하이인덱스",16,0))))&amp;"~"&amp;INDEX('기준표'!$F$1:$F$16,IF(B3="CR-39",14,IF(B3="폴리카보네이트",15,IF(B3="하이인덱스",16,0))))&amp;")")))</x:f>
        <x:v>통과</x:v>
      </x:c>
    </x:row>
    <x:row r="4" ht="76" customHeight="1">
      <x:c r="A4" s="2" t="str">
        <x:v>L003</x:v>
      </x:c>
      <x:c r="B4" s="10" t="str">
        <x:v>CR-39</x:v>
      </x:c>
      <x:c r="C4" s="10" t="str">
        <x:v>선샤인가드 UV프로텍트 030</x:v>
      </x:c>
      <x:c r="D4" s="7" t="n">
        <x:v>1</x:v>
      </x:c>
      <x:c r="E4" s="7" t="n">
        <x:v>1</x:v>
      </x:c>
      <x:c r="F4" s="7" t="n">
        <x:v>0</x:v>
      </x:c>
      <x:c r="G4" s="7" t="n">
        <x:v>1.506</x:v>
      </x:c>
      <x:c r="H4" s="7" t="n">
        <x:v>90.6</x:v>
      </x:c>
      <x:c r="I4" s="7" t="n">
        <x:v>1.2</x:v>
      </x:c>
      <x:c r="J4" s="7" t="n">
        <x:v>71.86</x:v>
      </x:c>
      <x:c r="K4" s="7" t="n">
        <x:v>2.01</x:v>
      </x:c>
      <x:c r="L4" s="7" t="n">
        <x:v>1.46</x:v>
      </x:c>
      <x:c r="M4" s="7" t="n">
        <x:v>79.2</x:v>
      </x:c>
      <x:c r="N4" s="7" t="n">
        <x:v>99.2</x:v>
      </x:c>
      <x:c r="O4" s="7" t="n">
        <x:v>1.05</x:v>
      </x:c>
      <x:c r="P4" s="7" t="n">
        <x:v>23.5</x:v>
      </x:c>
      <x:c r="Q4" s="2" t="str">
        <x:f>IF(OR(LEFT(U4,3)="불합격",LEFT(V4,3)="불합격",LEFT(W4,3)="불합격",LEFT(X4,3)="불합격",LEFT(Y4,3)="불합격",LEFT(Z4,3)="불합격",LEFT(AA4,3)="불합격",LEFT(AB4,3)="불합격",LEFT(AC4,3)="불합격",LEFT(AD4,3)="불합격",LEFT(AE4,3)="불합격",LEFT(AF4,3)="불합격",LEFT(AG4,3)="불합격"),"불합격",IF(AND(U4="통과",V4="통과",W4="통과",X4="통과",Y4="통과",Z4="통과",AA4="통과",AB4="통과",AC4="통과",AD4="통과",AE4="통과",AF4="통과",AG4="통과"),"합격","판정불가"))</x:f>
        <x:v>불합격</x:v>
      </x:c>
      <x:c r="R4" s="9" t="str">
        <x:f>IF(Q4="합격","13개 항목 모두 허용범위 이내",IF(U4="통과","",U4&amp;CHAR(10))&amp;IF(V4="통과","",V4&amp;CHAR(10))&amp;IF(W4="통과","",W4&amp;CHAR(10))&amp;IF(X4="통과","",X4&amp;CHAR(10))&amp;IF(Y4="통과","",Y4&amp;CHAR(10))&amp;IF(Z4="통과","",Z4&amp;CHAR(10))&amp;IF(AA4="통과","",AA4&amp;CHAR(10))&amp;IF(AB4="통과","",AB4&amp;CHAR(10))&amp;IF(AC4="통과","",AC4&amp;CHAR(10))&amp;IF(AD4="통과","",AD4&amp;CHAR(10))&amp;IF(AE4="통과","",AE4&amp;CHAR(10))&amp;IF(AF4="통과","",AF4&amp;CHAR(10))&amp;IF(AG4="통과","",AG4&amp;CHAR(10)))</x:f>
        <x:v>불합격: 틴트농도 23.5 (허용 17~23)
불합격: 굴절률 1.506 (허용 1.495~1.505)
</x:v>
      </x:c>
      <x:c r="S4" s="2" t="str">
        <x:v>합격</x:v>
      </x:c>
      <x:c r="T4" s="9"/>
      <x:c r="U4" s="2" t="str">
        <x:f>IF(NOT(ISNUMBER(D4)),"판정불가: 스크래치등급 누락",IF(AND(D4&gt;='기준표'!$D$2,D4&lt;='기준표'!$F$2),"통과","불합격: 스크래치등급 "&amp;D4&amp;" (허용 "&amp;'기준표'!$D$2&amp;"~"&amp;'기준표'!$F$2&amp;")"))</x:f>
        <x:v>통과</x:v>
      </x:c>
      <x:c r="V4" s="2" t="str">
        <x:f>IF(NOT(ISNUMBER(E4)),"판정불가: 기포이물질개수 누락",IF(AND(E4&gt;='기준표'!$D$3,E4&lt;='기준표'!$F$3),"통과","불합격: 기포이물질개수 "&amp;E4&amp;" (허용 "&amp;'기준표'!$D$3&amp;"~"&amp;'기준표'!$F$3&amp;")"))</x:f>
        <x:v>통과</x:v>
      </x:c>
      <x:c r="W4" s="2" t="str">
        <x:f>IF(NOT(ISNUMBER(F4)),"판정불가: 코팅불량개수 누락",IF(AND(F4&gt;='기준표'!$D$4,F4&lt;='기준표'!$F$4),"통과","불합격: 코팅불량개수 "&amp;F4&amp;" (허용 "&amp;'기준표'!$D$4&amp;"~"&amp;'기준표'!$F$4&amp;")"))</x:f>
        <x:v>통과</x:v>
      </x:c>
      <x:c r="X4" s="2" t="str">
        <x:f>IF(NOT(ISNUMBER(H4)),"판정불가: 광투과율 누락",IF(AND(H4&gt;='기준표'!$D$5,H4&lt;='기준표'!$F$5),"통과","불합격: 광투과율 "&amp;H4&amp;" (허용 "&amp;'기준표'!$D$5&amp;"~"&amp;'기준표'!$F$5&amp;")"))</x:f>
        <x:v>통과</x:v>
      </x:c>
      <x:c r="Y4" s="2" t="str">
        <x:f>IF(NOT(ISNUMBER(I4)),"판정불가: 왜곡률 누락",IF(AND(I4&gt;='기준표'!$D$6,I4&lt;='기준표'!$F$6),"통과","불합격: 왜곡률 "&amp;I4&amp;" (허용 "&amp;'기준표'!$D$6&amp;"~"&amp;'기준표'!$F$6&amp;")"))</x:f>
        <x:v>통과</x:v>
      </x:c>
      <x:c r="Z4" s="2" t="str">
        <x:f>IF(NOT(ISNUMBER(J4)),"판정불가: 렌즈직경 누락",IF(AND(J4&gt;='기준표'!$D$7,J4&lt;='기준표'!$F$7),"통과","불합격: 렌즈직경 "&amp;J4&amp;" (허용 "&amp;'기준표'!$D$7&amp;"~"&amp;'기준표'!$F$7&amp;")"))</x:f>
        <x:v>통과</x:v>
      </x:c>
      <x:c r="AA4" s="2" t="str">
        <x:f>IF(NOT(ISNUMBER(K4)),"판정불가: 중심두께 누락",IF(AND(K4&gt;='기준표'!$D$8,K4&lt;='기준표'!$F$8),"통과","불합격: 중심두께 "&amp;K4&amp;" (허용 "&amp;'기준표'!$D$8&amp;"~"&amp;'기준표'!$F$8&amp;")"))</x:f>
        <x:v>통과</x:v>
      </x:c>
      <x:c r="AB4" s="2" t="str">
        <x:f>IF(NOT(ISNUMBER(L4)),"판정불가: 가장자리두께 누락",IF(AND(L4&gt;='기준표'!$D$9,L4&lt;='기준표'!$F$9),"통과","불합격: 가장자리두께 "&amp;L4&amp;" (허용 "&amp;'기준표'!$D$9&amp;"~"&amp;'기준표'!$F$9&amp;")"))</x:f>
        <x:v>통과</x:v>
      </x:c>
      <x:c r="AC4" s="2" t="str">
        <x:f>IF(NOT(ISNUMBER(M4)),"판정불가: 곡률반경 누락",IF(AND(M4&gt;='기준표'!$D$10,M4&lt;='기준표'!$F$10),"통과","불합격: 곡률반경 "&amp;M4&amp;" (허용 "&amp;'기준표'!$D$10&amp;"~"&amp;'기준표'!$F$10&amp;")"))</x:f>
        <x:v>통과</x:v>
      </x:c>
      <x:c r="AD4" s="2" t="str">
        <x:f>IF(NOT(ISNUMBER(N4)),"판정불가: UV차단율 누락",IF(AND(N4&gt;='기준표'!$D$11,N4&lt;='기준표'!$F$11),"통과","불합격: UV차단율 "&amp;N4&amp;" (허용 "&amp;'기준표'!$D$11&amp;"~"&amp;'기준표'!$F$11&amp;")"))</x:f>
        <x:v>통과</x:v>
      </x:c>
      <x:c r="AE4" s="2" t="str">
        <x:f>IF(NOT(ISNUMBER(O4)),"판정불가: 색상균일도 누락",IF(AND(O4&gt;='기준표'!$D$12,O4&lt;='기준표'!$F$12),"통과","불합격: 색상균일도 "&amp;O4&amp;" (허용 "&amp;'기준표'!$D$12&amp;"~"&amp;'기준표'!$F$12&amp;")"))</x:f>
        <x:v>통과</x:v>
      </x:c>
      <x:c r="AF4" s="2" t="str">
        <x:f>IF(NOT(ISNUMBER(P4)),"판정불가: 틴트농도 누락",IF(AND(P4&gt;='기준표'!$D$13,P4&lt;='기준표'!$F$13),"통과","불합격: 틴트농도 "&amp;P4&amp;" (허용 "&amp;'기준표'!$D$13&amp;"~"&amp;'기준표'!$F$13&amp;")"))</x:f>
        <x:v>불합격: 틴트농도 23.5 (허용 17~23)</x:v>
      </x:c>
      <x:c r="AG4" s="2" t="str">
        <x:f>IF(IF(B4="CR-39",14,IF(B4="폴리카보네이트",15,IF(B4="하이인덱스",16,0)))=0,"판정불가: 소재 기준 없음",IF(NOT(ISNUMBER(G4)),"판정불가: 굴절률 누락",IF(AND(G4&gt;=INDEX('기준표'!$D$1:$D$16,IF(B4="CR-39",14,IF(B4="폴리카보네이트",15,IF(B4="하이인덱스",16,0)))),G4&lt;=INDEX('기준표'!$F$1:$F$16,IF(B4="CR-39",14,IF(B4="폴리카보네이트",15,IF(B4="하이인덱스",16,0))))),"통과","불합격: 굴절률 "&amp;G4&amp;" (허용 "&amp;INDEX('기준표'!$D$1:$D$16,IF(B4="CR-39",14,IF(B4="폴리카보네이트",15,IF(B4="하이인덱스",16,0))))&amp;"~"&amp;INDEX('기준표'!$F$1:$F$16,IF(B4="CR-39",14,IF(B4="폴리카보네이트",15,IF(B4="하이인덱스",16,0))))&amp;")")))</x:f>
        <x:v>불합격: 굴절률 1.506 (허용 1.495~1.505)</x:v>
      </x:c>
    </x:row>
    <x:row r="5" ht="76" customHeight="1">
      <x:c r="A5" s="2" t="str">
        <x:v>L004</x:v>
      </x:c>
      <x:c r="B5" s="10" t="str">
        <x:v>CR-39</x:v>
      </x:c>
      <x:c r="C5" s="10" t="str">
        <x:v>스카이비전 선글라스틴트 002</x:v>
      </x:c>
      <x:c r="D5" s="7" t="n">
        <x:v>2</x:v>
      </x:c>
      <x:c r="E5" s="7" t="n">
        <x:v>0</x:v>
      </x:c>
      <x:c r="F5" s="7" t="n">
        <x:v>1</x:v>
      </x:c>
      <x:c r="G5" s="7" t="n">
        <x:v>1.504</x:v>
      </x:c>
      <x:c r="H5" s="7" t="n">
        <x:v>92</x:v>
      </x:c>
      <x:c r="I5" s="7" t="n">
        <x:v>1.3</x:v>
      </x:c>
      <x:c r="J5" s="7" t="n">
        <x:v>72.55</x:v>
      </x:c>
      <x:c r="K5" s="7" t="n">
        <x:v>1.95</x:v>
      </x:c>
      <x:c r="L5" s="7" t="n">
        <x:v>1.33</x:v>
      </x:c>
      <x:c r="M5" s="7" t="n">
        <x:v>83.2</x:v>
      </x:c>
      <x:c r="N5" s="7" t="n">
        <x:v>99.4</x:v>
      </x:c>
      <x:c r="O5" s="7" t="n">
        <x:v>0.99</x:v>
      </x:c>
      <x:c r="P5" s="7" t="n">
        <x:v>22.7</x:v>
      </x:c>
      <x:c r="Q5" s="2" t="str">
        <x:f>IF(OR(LEFT(U5,3)="불합격",LEFT(V5,3)="불합격",LEFT(W5,3)="불합격",LEFT(X5,3)="불합격",LEFT(Y5,3)="불합격",LEFT(Z5,3)="불합격",LEFT(AA5,3)="불합격",LEFT(AB5,3)="불합격",LEFT(AC5,3)="불합격",LEFT(AD5,3)="불합격",LEFT(AE5,3)="불합격",LEFT(AF5,3)="불합격",LEFT(AG5,3)="불합격"),"불합격",IF(AND(U5="통과",V5="통과",W5="통과",X5="통과",Y5="통과",Z5="통과",AA5="통과",AB5="통과",AC5="통과",AD5="통과",AE5="통과",AF5="통과",AG5="통과"),"합격","판정불가"))</x:f>
        <x:v>합격</x:v>
      </x:c>
      <x:c r="R5" s="9" t="str">
        <x:f>IF(Q5="합격","13개 항목 모두 허용범위 이내",IF(U5="통과","",U5&amp;CHAR(10))&amp;IF(V5="통과","",V5&amp;CHAR(10))&amp;IF(W5="통과","",W5&amp;CHAR(10))&amp;IF(X5="통과","",X5&amp;CHAR(10))&amp;IF(Y5="통과","",Y5&amp;CHAR(10))&amp;IF(Z5="통과","",Z5&amp;CHAR(10))&amp;IF(AA5="통과","",AA5&amp;CHAR(10))&amp;IF(AB5="통과","",AB5&amp;CHAR(10))&amp;IF(AC5="통과","",AC5&amp;CHAR(10))&amp;IF(AD5="통과","",AD5&amp;CHAR(10))&amp;IF(AE5="통과","",AE5&amp;CHAR(10))&amp;IF(AF5="통과","",AF5&amp;CHAR(10))&amp;IF(AG5="통과","",AG5&amp;CHAR(10)))</x:f>
        <x:v>13개 항목 모두 허용범위 이내</x:v>
      </x:c>
      <x:c r="S5" s="2" t="str">
        <x:v>합격</x:v>
      </x:c>
      <x:c r="T5" s="9"/>
      <x:c r="U5" s="2" t="str">
        <x:f>IF(NOT(ISNUMBER(D5)),"판정불가: 스크래치등급 누락",IF(AND(D5&gt;='기준표'!$D$2,D5&lt;='기준표'!$F$2),"통과","불합격: 스크래치등급 "&amp;D5&amp;" (허용 "&amp;'기준표'!$D$2&amp;"~"&amp;'기준표'!$F$2&amp;")"))</x:f>
        <x:v>통과</x:v>
      </x:c>
      <x:c r="V5" s="2" t="str">
        <x:f>IF(NOT(ISNUMBER(E5)),"판정불가: 기포이물질개수 누락",IF(AND(E5&gt;='기준표'!$D$3,E5&lt;='기준표'!$F$3),"통과","불합격: 기포이물질개수 "&amp;E5&amp;" (허용 "&amp;'기준표'!$D$3&amp;"~"&amp;'기준표'!$F$3&amp;")"))</x:f>
        <x:v>통과</x:v>
      </x:c>
      <x:c r="W5" s="2" t="str">
        <x:f>IF(NOT(ISNUMBER(F5)),"판정불가: 코팅불량개수 누락",IF(AND(F5&gt;='기준표'!$D$4,F5&lt;='기준표'!$F$4),"통과","불합격: 코팅불량개수 "&amp;F5&amp;" (허용 "&amp;'기준표'!$D$4&amp;"~"&amp;'기준표'!$F$4&amp;")"))</x:f>
        <x:v>통과</x:v>
      </x:c>
      <x:c r="X5" s="2" t="str">
        <x:f>IF(NOT(ISNUMBER(H5)),"판정불가: 광투과율 누락",IF(AND(H5&gt;='기준표'!$D$5,H5&lt;='기준표'!$F$5),"통과","불합격: 광투과율 "&amp;H5&amp;" (허용 "&amp;'기준표'!$D$5&amp;"~"&amp;'기준표'!$F$5&amp;")"))</x:f>
        <x:v>통과</x:v>
      </x:c>
      <x:c r="Y5" s="2" t="str">
        <x:f>IF(NOT(ISNUMBER(I5)),"판정불가: 왜곡률 누락",IF(AND(I5&gt;='기준표'!$D$6,I5&lt;='기준표'!$F$6),"통과","불합격: 왜곡률 "&amp;I5&amp;" (허용 "&amp;'기준표'!$D$6&amp;"~"&amp;'기준표'!$F$6&amp;")"))</x:f>
        <x:v>통과</x:v>
      </x:c>
      <x:c r="Z5" s="2" t="str">
        <x:f>IF(NOT(ISNUMBER(J5)),"판정불가: 렌즈직경 누락",IF(AND(J5&gt;='기준표'!$D$7,J5&lt;='기준표'!$F$7),"통과","불합격: 렌즈직경 "&amp;J5&amp;" (허용 "&amp;'기준표'!$D$7&amp;"~"&amp;'기준표'!$F$7&amp;")"))</x:f>
        <x:v>통과</x:v>
      </x:c>
      <x:c r="AA5" s="2" t="str">
        <x:f>IF(NOT(ISNUMBER(K5)),"판정불가: 중심두께 누락",IF(AND(K5&gt;='기준표'!$D$8,K5&lt;='기준표'!$F$8),"통과","불합격: 중심두께 "&amp;K5&amp;" (허용 "&amp;'기준표'!$D$8&amp;"~"&amp;'기준표'!$F$8&amp;")"))</x:f>
        <x:v>통과</x:v>
      </x:c>
      <x:c r="AB5" s="2" t="str">
        <x:f>IF(NOT(ISNUMBER(L5)),"판정불가: 가장자리두께 누락",IF(AND(L5&gt;='기준표'!$D$9,L5&lt;='기준표'!$F$9),"통과","불합격: 가장자리두께 "&amp;L5&amp;" (허용 "&amp;'기준표'!$D$9&amp;"~"&amp;'기준표'!$F$9&amp;")"))</x:f>
        <x:v>통과</x:v>
      </x:c>
      <x:c r="AC5" s="2" t="str">
        <x:f>IF(NOT(ISNUMBER(M5)),"판정불가: 곡률반경 누락",IF(AND(M5&gt;='기준표'!$D$10,M5&lt;='기준표'!$F$10),"통과","불합격: 곡률반경 "&amp;M5&amp;" (허용 "&amp;'기준표'!$D$10&amp;"~"&amp;'기준표'!$F$10&amp;")"))</x:f>
        <x:v>통과</x:v>
      </x:c>
      <x:c r="AD5" s="2" t="str">
        <x:f>IF(NOT(ISNUMBER(N5)),"판정불가: UV차단율 누락",IF(AND(N5&gt;='기준표'!$D$11,N5&lt;='기준표'!$F$11),"통과","불합격: UV차단율 "&amp;N5&amp;" (허용 "&amp;'기준표'!$D$11&amp;"~"&amp;'기준표'!$F$11&amp;")"))</x:f>
        <x:v>통과</x:v>
      </x:c>
      <x:c r="AE5" s="2" t="str">
        <x:f>IF(NOT(ISNUMBER(O5)),"판정불가: 색상균일도 누락",IF(AND(O5&gt;='기준표'!$D$12,O5&lt;='기준표'!$F$12),"통과","불합격: 색상균일도 "&amp;O5&amp;" (허용 "&amp;'기준표'!$D$12&amp;"~"&amp;'기준표'!$F$12&amp;")"))</x:f>
        <x:v>통과</x:v>
      </x:c>
      <x:c r="AF5" s="2" t="str">
        <x:f>IF(NOT(ISNUMBER(P5)),"판정불가: 틴트농도 누락",IF(AND(P5&gt;='기준표'!$D$13,P5&lt;='기준표'!$F$13),"통과","불합격: 틴트농도 "&amp;P5&amp;" (허용 "&amp;'기준표'!$D$13&amp;"~"&amp;'기준표'!$F$13&amp;")"))</x:f>
        <x:v>통과</x:v>
      </x:c>
      <x:c r="AG5" s="2" t="str">
        <x:f>IF(IF(B5="CR-39",14,IF(B5="폴리카보네이트",15,IF(B5="하이인덱스",16,0)))=0,"판정불가: 소재 기준 없음",IF(NOT(ISNUMBER(G5)),"판정불가: 굴절률 누락",IF(AND(G5&gt;=INDEX('기준표'!$D$1:$D$16,IF(B5="CR-39",14,IF(B5="폴리카보네이트",15,IF(B5="하이인덱스",16,0)))),G5&lt;=INDEX('기준표'!$F$1:$F$16,IF(B5="CR-39",14,IF(B5="폴리카보네이트",15,IF(B5="하이인덱스",16,0))))),"통과","불합격: 굴절률 "&amp;G5&amp;" (허용 "&amp;INDEX('기준표'!$D$1:$D$16,IF(B5="CR-39",14,IF(B5="폴리카보네이트",15,IF(B5="하이인덱스",16,0))))&amp;"~"&amp;INDEX('기준표'!$F$1:$F$16,IF(B5="CR-39",14,IF(B5="폴리카보네이트",15,IF(B5="하이인덱스",16,0))))&amp;")")))</x:f>
        <x:v>통과</x:v>
      </x:c>
    </x:row>
    <x:row r="6" ht="76" customHeight="1">
      <x:c r="A6" s="2" t="str">
        <x:v>L005</x:v>
      </x:c>
      <x:c r="B6" s="10" t="str">
        <x:v>CR-39</x:v>
      </x:c>
      <x:c r="C6" s="10" t="str">
        <x:v>스카이비전 프리미엄 014</x:v>
      </x:c>
      <x:c r="D6" s="7" t="n">
        <x:v>1</x:v>
      </x:c>
      <x:c r="E6" s="7" t="n">
        <x:v>1</x:v>
      </x:c>
      <x:c r="F6" s="7" t="n">
        <x:v>0</x:v>
      </x:c>
      <x:c r="G6" s="7" t="n">
        <x:v>1.498</x:v>
      </x:c>
      <x:c r="H6" s="7" t="n">
        <x:v>92</x:v>
      </x:c>
      <x:c r="I6" s="7" t="n">
        <x:v>1.1</x:v>
      </x:c>
      <x:c r="J6" s="7" t="n">
        <x:v>69.72</x:v>
      </x:c>
      <x:c r="K6" s="7" t="n">
        <x:v>2.03</x:v>
      </x:c>
      <x:c r="L6" s="7" t="n">
        <x:v>1.42</x:v>
      </x:c>
      <x:c r="M6" s="7" t="n">
        <x:v>79.7</x:v>
      </x:c>
      <x:c r="N6" s="7" t="n">
        <x:v>99</x:v>
      </x:c>
      <x:c r="O6" s="7" t="n">
        <x:v>0.71</x:v>
      </x:c>
      <x:c r="P6" s="7" t="n">
        <x:v>20.9</x:v>
      </x:c>
      <x:c r="Q6" s="2" t="str">
        <x:f>IF(OR(LEFT(U6,3)="불합격",LEFT(V6,3)="불합격",LEFT(W6,3)="불합격",LEFT(X6,3)="불합격",LEFT(Y6,3)="불합격",LEFT(Z6,3)="불합격",LEFT(AA6,3)="불합격",LEFT(AB6,3)="불합격",LEFT(AC6,3)="불합격",LEFT(AD6,3)="불합격",LEFT(AE6,3)="불합격",LEFT(AF6,3)="불합격",LEFT(AG6,3)="불합격"),"불합격",IF(AND(U6="통과",V6="통과",W6="통과",X6="통과",Y6="통과",Z6="통과",AA6="통과",AB6="통과",AC6="통과",AD6="통과",AE6="통과",AF6="통과",AG6="통과"),"합격","판정불가"))</x:f>
        <x:v>불합격</x:v>
      </x:c>
      <x:c r="R6" s="9" t="str">
        <x:f>IF(Q6="합격","13개 항목 모두 허용범위 이내",IF(U6="통과","",U6&amp;CHAR(10))&amp;IF(V6="통과","",V6&amp;CHAR(10))&amp;IF(W6="통과","",W6&amp;CHAR(10))&amp;IF(X6="통과","",X6&amp;CHAR(10))&amp;IF(Y6="통과","",Y6&amp;CHAR(10))&amp;IF(Z6="통과","",Z6&amp;CHAR(10))&amp;IF(AA6="통과","",AA6&amp;CHAR(10))&amp;IF(AB6="통과","",AB6&amp;CHAR(10))&amp;IF(AC6="통과","",AC6&amp;CHAR(10))&amp;IF(AD6="통과","",AD6&amp;CHAR(10))&amp;IF(AE6="통과","",AE6&amp;CHAR(10))&amp;IF(AF6="통과","",AF6&amp;CHAR(10))&amp;IF(AG6="통과","",AG6&amp;CHAR(10)))</x:f>
        <x:v>불합격: 렌즈직경 69.72 (허용 70~74)
</x:v>
      </x:c>
      <x:c r="S6" s="2" t="str">
        <x:v>불량</x:v>
      </x:c>
      <x:c r="T6" s="9" t="str">
        <x:v>렌즈직경</x:v>
      </x:c>
      <x:c r="U6" s="2" t="str">
        <x:f>IF(NOT(ISNUMBER(D6)),"판정불가: 스크래치등급 누락",IF(AND(D6&gt;='기준표'!$D$2,D6&lt;='기준표'!$F$2),"통과","불합격: 스크래치등급 "&amp;D6&amp;" (허용 "&amp;'기준표'!$D$2&amp;"~"&amp;'기준표'!$F$2&amp;")"))</x:f>
        <x:v>통과</x:v>
      </x:c>
      <x:c r="V6" s="2" t="str">
        <x:f>IF(NOT(ISNUMBER(E6)),"판정불가: 기포이물질개수 누락",IF(AND(E6&gt;='기준표'!$D$3,E6&lt;='기준표'!$F$3),"통과","불합격: 기포이물질개수 "&amp;E6&amp;" (허용 "&amp;'기준표'!$D$3&amp;"~"&amp;'기준표'!$F$3&amp;")"))</x:f>
        <x:v>통과</x:v>
      </x:c>
      <x:c r="W6" s="2" t="str">
        <x:f>IF(NOT(ISNUMBER(F6)),"판정불가: 코팅불량개수 누락",IF(AND(F6&gt;='기준표'!$D$4,F6&lt;='기준표'!$F$4),"통과","불합격: 코팅불량개수 "&amp;F6&amp;" (허용 "&amp;'기준표'!$D$4&amp;"~"&amp;'기준표'!$F$4&amp;")"))</x:f>
        <x:v>통과</x:v>
      </x:c>
      <x:c r="X6" s="2" t="str">
        <x:f>IF(NOT(ISNUMBER(H6)),"판정불가: 광투과율 누락",IF(AND(H6&gt;='기준표'!$D$5,H6&lt;='기준표'!$F$5),"통과","불합격: 광투과율 "&amp;H6&amp;" (허용 "&amp;'기준표'!$D$5&amp;"~"&amp;'기준표'!$F$5&amp;")"))</x:f>
        <x:v>통과</x:v>
      </x:c>
      <x:c r="Y6" s="2" t="str">
        <x:f>IF(NOT(ISNUMBER(I6)),"판정불가: 왜곡률 누락",IF(AND(I6&gt;='기준표'!$D$6,I6&lt;='기준표'!$F$6),"통과","불합격: 왜곡률 "&amp;I6&amp;" (허용 "&amp;'기준표'!$D$6&amp;"~"&amp;'기준표'!$F$6&amp;")"))</x:f>
        <x:v>통과</x:v>
      </x:c>
      <x:c r="Z6" s="2" t="str">
        <x:f>IF(NOT(ISNUMBER(J6)),"판정불가: 렌즈직경 누락",IF(AND(J6&gt;='기준표'!$D$7,J6&lt;='기준표'!$F$7),"통과","불합격: 렌즈직경 "&amp;J6&amp;" (허용 "&amp;'기준표'!$D$7&amp;"~"&amp;'기준표'!$F$7&amp;")"))</x:f>
        <x:v>불합격: 렌즈직경 69.72 (허용 70~74)</x:v>
      </x:c>
      <x:c r="AA6" s="2" t="str">
        <x:f>IF(NOT(ISNUMBER(K6)),"판정불가: 중심두께 누락",IF(AND(K6&gt;='기준표'!$D$8,K6&lt;='기준표'!$F$8),"통과","불합격: 중심두께 "&amp;K6&amp;" (허용 "&amp;'기준표'!$D$8&amp;"~"&amp;'기준표'!$F$8&amp;")"))</x:f>
        <x:v>통과</x:v>
      </x:c>
      <x:c r="AB6" s="2" t="str">
        <x:f>IF(NOT(ISNUMBER(L6)),"판정불가: 가장자리두께 누락",IF(AND(L6&gt;='기준표'!$D$9,L6&lt;='기준표'!$F$9),"통과","불합격: 가장자리두께 "&amp;L6&amp;" (허용 "&amp;'기준표'!$D$9&amp;"~"&amp;'기준표'!$F$9&amp;")"))</x:f>
        <x:v>통과</x:v>
      </x:c>
      <x:c r="AC6" s="2" t="str">
        <x:f>IF(NOT(ISNUMBER(M6)),"판정불가: 곡률반경 누락",IF(AND(M6&gt;='기준표'!$D$10,M6&lt;='기준표'!$F$10),"통과","불합격: 곡률반경 "&amp;M6&amp;" (허용 "&amp;'기준표'!$D$10&amp;"~"&amp;'기준표'!$F$10&amp;")"))</x:f>
        <x:v>통과</x:v>
      </x:c>
      <x:c r="AD6" s="2" t="str">
        <x:f>IF(NOT(ISNUMBER(N6)),"판정불가: UV차단율 누락",IF(AND(N6&gt;='기준표'!$D$11,N6&lt;='기준표'!$F$11),"통과","불합격: UV차단율 "&amp;N6&amp;" (허용 "&amp;'기준표'!$D$11&amp;"~"&amp;'기준표'!$F$11&amp;")"))</x:f>
        <x:v>통과</x:v>
      </x:c>
      <x:c r="AE6" s="2" t="str">
        <x:f>IF(NOT(ISNUMBER(O6)),"판정불가: 색상균일도 누락",IF(AND(O6&gt;='기준표'!$D$12,O6&lt;='기준표'!$F$12),"통과","불합격: 색상균일도 "&amp;O6&amp;" (허용 "&amp;'기준표'!$D$12&amp;"~"&amp;'기준표'!$F$12&amp;")"))</x:f>
        <x:v>통과</x:v>
      </x:c>
      <x:c r="AF6" s="2" t="str">
        <x:f>IF(NOT(ISNUMBER(P6)),"판정불가: 틴트농도 누락",IF(AND(P6&gt;='기준표'!$D$13,P6&lt;='기준표'!$F$13),"통과","불합격: 틴트농도 "&amp;P6&amp;" (허용 "&amp;'기준표'!$D$13&amp;"~"&amp;'기준표'!$F$13&amp;")"))</x:f>
        <x:v>통과</x:v>
      </x:c>
      <x:c r="AG6" s="2" t="str">
        <x:f>IF(IF(B6="CR-39",14,IF(B6="폴리카보네이트",15,IF(B6="하이인덱스",16,0)))=0,"판정불가: 소재 기준 없음",IF(NOT(ISNUMBER(G6)),"판정불가: 굴절률 누락",IF(AND(G6&gt;=INDEX('기준표'!$D$1:$D$16,IF(B6="CR-39",14,IF(B6="폴리카보네이트",15,IF(B6="하이인덱스",16,0)))),G6&lt;=INDEX('기준표'!$F$1:$F$16,IF(B6="CR-39",14,IF(B6="폴리카보네이트",15,IF(B6="하이인덱스",16,0))))),"통과","불합격: 굴절률 "&amp;G6&amp;" (허용 "&amp;INDEX('기준표'!$D$1:$D$16,IF(B6="CR-39",14,IF(B6="폴리카보네이트",15,IF(B6="하이인덱스",16,0))))&amp;"~"&amp;INDEX('기준표'!$F$1:$F$16,IF(B6="CR-39",14,IF(B6="폴리카보네이트",15,IF(B6="하이인덱스",16,0))))&amp;")")))</x:f>
        <x:v>통과</x:v>
      </x:c>
    </x:row>
    <x:row r="7" ht="76" customHeight="1">
      <x:c r="A7" s="2" t="str">
        <x:v>L006</x:v>
      </x:c>
      <x:c r="B7" s="10" t="str">
        <x:v>CR-39</x:v>
      </x:c>
      <x:c r="C7" s="10" t="str">
        <x:v>스카이비전 프리미엄 028</x:v>
      </x:c>
      <x:c r="D7" s="7" t="n">
        <x:v>1</x:v>
      </x:c>
      <x:c r="E7" s="7" t="n">
        <x:v>1</x:v>
      </x:c>
      <x:c r="F7" s="7" t="n">
        <x:v>0</x:v>
      </x:c>
      <x:c r="G7" s="7" t="n">
        <x:v>1.504</x:v>
      </x:c>
      <x:c r="H7" s="7" t="n">
        <x:v>90.5</x:v>
      </x:c>
      <x:c r="I7" s="7" t="n">
        <x:v>0.9</x:v>
      </x:c>
      <x:c r="J7" s="7" t="n">
        <x:v>72.73</x:v>
      </x:c>
      <x:c r="K7" s="7" t="n">
        <x:v>2.15</x:v>
      </x:c>
      <x:c r="L7" s="7" t="n">
        <x:v>1.48</x:v>
      </x:c>
      <x:c r="M7" s="7" t="n">
        <x:v>78.2</x:v>
      </x:c>
      <x:c r="N7" s="7" t="n">
        <x:v>99.2</x:v>
      </x:c>
      <x:c r="O7" s="7" t="n">
        <x:v>1.01</x:v>
      </x:c>
      <x:c r="P7" s="7" t="n">
        <x:v>18.5</x:v>
      </x:c>
      <x:c r="Q7" s="2" t="str">
        <x:f>IF(OR(LEFT(U7,3)="불합격",LEFT(V7,3)="불합격",LEFT(W7,3)="불합격",LEFT(X7,3)="불합격",LEFT(Y7,3)="불합격",LEFT(Z7,3)="불합격",LEFT(AA7,3)="불합격",LEFT(AB7,3)="불합격",LEFT(AC7,3)="불합격",LEFT(AD7,3)="불합격",LEFT(AE7,3)="불합격",LEFT(AF7,3)="불합격",LEFT(AG7,3)="불합격"),"불합격",IF(AND(U7="통과",V7="통과",W7="통과",X7="통과",Y7="통과",Z7="통과",AA7="통과",AB7="통과",AC7="통과",AD7="통과",AE7="통과",AF7="통과",AG7="통과"),"합격","판정불가"))</x:f>
        <x:v>합격</x:v>
      </x:c>
      <x:c r="R7" s="9" t="str">
        <x:f>IF(Q7="합격","13개 항목 모두 허용범위 이내",IF(U7="통과","",U7&amp;CHAR(10))&amp;IF(V7="통과","",V7&amp;CHAR(10))&amp;IF(W7="통과","",W7&amp;CHAR(10))&amp;IF(X7="통과","",X7&amp;CHAR(10))&amp;IF(Y7="통과","",Y7&amp;CHAR(10))&amp;IF(Z7="통과","",Z7&amp;CHAR(10))&amp;IF(AA7="통과","",AA7&amp;CHAR(10))&amp;IF(AB7="통과","",AB7&amp;CHAR(10))&amp;IF(AC7="통과","",AC7&amp;CHAR(10))&amp;IF(AD7="통과","",AD7&amp;CHAR(10))&amp;IF(AE7="통과","",AE7&amp;CHAR(10))&amp;IF(AF7="통과","",AF7&amp;CHAR(10))&amp;IF(AG7="통과","",AG7&amp;CHAR(10)))</x:f>
        <x:v>13개 항목 모두 허용범위 이내</x:v>
      </x:c>
      <x:c r="S7" s="2" t="str">
        <x:v>합격</x:v>
      </x:c>
      <x:c r="T7" s="9"/>
      <x:c r="U7" s="2" t="str">
        <x:f>IF(NOT(ISNUMBER(D7)),"판정불가: 스크래치등급 누락",IF(AND(D7&gt;='기준표'!$D$2,D7&lt;='기준표'!$F$2),"통과","불합격: 스크래치등급 "&amp;D7&amp;" (허용 "&amp;'기준표'!$D$2&amp;"~"&amp;'기준표'!$F$2&amp;")"))</x:f>
        <x:v>통과</x:v>
      </x:c>
      <x:c r="V7" s="2" t="str">
        <x:f>IF(NOT(ISNUMBER(E7)),"판정불가: 기포이물질개수 누락",IF(AND(E7&gt;='기준표'!$D$3,E7&lt;='기준표'!$F$3),"통과","불합격: 기포이물질개수 "&amp;E7&amp;" (허용 "&amp;'기준표'!$D$3&amp;"~"&amp;'기준표'!$F$3&amp;")"))</x:f>
        <x:v>통과</x:v>
      </x:c>
      <x:c r="W7" s="2" t="str">
        <x:f>IF(NOT(ISNUMBER(F7)),"판정불가: 코팅불량개수 누락",IF(AND(F7&gt;='기준표'!$D$4,F7&lt;='기준표'!$F$4),"통과","불합격: 코팅불량개수 "&amp;F7&amp;" (허용 "&amp;'기준표'!$D$4&amp;"~"&amp;'기준표'!$F$4&amp;")"))</x:f>
        <x:v>통과</x:v>
      </x:c>
      <x:c r="X7" s="2" t="str">
        <x:f>IF(NOT(ISNUMBER(H7)),"판정불가: 광투과율 누락",IF(AND(H7&gt;='기준표'!$D$5,H7&lt;='기준표'!$F$5),"통과","불합격: 광투과율 "&amp;H7&amp;" (허용 "&amp;'기준표'!$D$5&amp;"~"&amp;'기준표'!$F$5&amp;")"))</x:f>
        <x:v>통과</x:v>
      </x:c>
      <x:c r="Y7" s="2" t="str">
        <x:f>IF(NOT(ISNUMBER(I7)),"판정불가: 왜곡률 누락",IF(AND(I7&gt;='기준표'!$D$6,I7&lt;='기준표'!$F$6),"통과","불합격: 왜곡률 "&amp;I7&amp;" (허용 "&amp;'기준표'!$D$6&amp;"~"&amp;'기준표'!$F$6&amp;")"))</x:f>
        <x:v>통과</x:v>
      </x:c>
      <x:c r="Z7" s="2" t="str">
        <x:f>IF(NOT(ISNUMBER(J7)),"판정불가: 렌즈직경 누락",IF(AND(J7&gt;='기준표'!$D$7,J7&lt;='기준표'!$F$7),"통과","불합격: 렌즈직경 "&amp;J7&amp;" (허용 "&amp;'기준표'!$D$7&amp;"~"&amp;'기준표'!$F$7&amp;")"))</x:f>
        <x:v>통과</x:v>
      </x:c>
      <x:c r="AA7" s="2" t="str">
        <x:f>IF(NOT(ISNUMBER(K7)),"판정불가: 중심두께 누락",IF(AND(K7&gt;='기준표'!$D$8,K7&lt;='기준표'!$F$8),"통과","불합격: 중심두께 "&amp;K7&amp;" (허용 "&amp;'기준표'!$D$8&amp;"~"&amp;'기준표'!$F$8&amp;")"))</x:f>
        <x:v>통과</x:v>
      </x:c>
      <x:c r="AB7" s="2" t="str">
        <x:f>IF(NOT(ISNUMBER(L7)),"판정불가: 가장자리두께 누락",IF(AND(L7&gt;='기준표'!$D$9,L7&lt;='기준표'!$F$9),"통과","불합격: 가장자리두께 "&amp;L7&amp;" (허용 "&amp;'기준표'!$D$9&amp;"~"&amp;'기준표'!$F$9&amp;")"))</x:f>
        <x:v>통과</x:v>
      </x:c>
      <x:c r="AC7" s="2" t="str">
        <x:f>IF(NOT(ISNUMBER(M7)),"판정불가: 곡률반경 누락",IF(AND(M7&gt;='기준표'!$D$10,M7&lt;='기준표'!$F$10),"통과","불합격: 곡률반경 "&amp;M7&amp;" (허용 "&amp;'기준표'!$D$10&amp;"~"&amp;'기준표'!$F$10&amp;")"))</x:f>
        <x:v>통과</x:v>
      </x:c>
      <x:c r="AD7" s="2" t="str">
        <x:f>IF(NOT(ISNUMBER(N7)),"판정불가: UV차단율 누락",IF(AND(N7&gt;='기준표'!$D$11,N7&lt;='기준표'!$F$11),"통과","불합격: UV차단율 "&amp;N7&amp;" (허용 "&amp;'기준표'!$D$11&amp;"~"&amp;'기준표'!$F$11&amp;")"))</x:f>
        <x:v>통과</x:v>
      </x:c>
      <x:c r="AE7" s="2" t="str">
        <x:f>IF(NOT(ISNUMBER(O7)),"판정불가: 색상균일도 누락",IF(AND(O7&gt;='기준표'!$D$12,O7&lt;='기준표'!$F$12),"통과","불합격: 색상균일도 "&amp;O7&amp;" (허용 "&amp;'기준표'!$D$12&amp;"~"&amp;'기준표'!$F$12&amp;")"))</x:f>
        <x:v>통과</x:v>
      </x:c>
      <x:c r="AF7" s="2" t="str">
        <x:f>IF(NOT(ISNUMBER(P7)),"판정불가: 틴트농도 누락",IF(AND(P7&gt;='기준표'!$D$13,P7&lt;='기준표'!$F$13),"통과","불합격: 틴트농도 "&amp;P7&amp;" (허용 "&amp;'기준표'!$D$13&amp;"~"&amp;'기준표'!$F$13&amp;")"))</x:f>
        <x:v>통과</x:v>
      </x:c>
      <x:c r="AG7" s="2" t="str">
        <x:f>IF(IF(B7="CR-39",14,IF(B7="폴리카보네이트",15,IF(B7="하이인덱스",16,0)))=0,"판정불가: 소재 기준 없음",IF(NOT(ISNUMBER(G7)),"판정불가: 굴절률 누락",IF(AND(G7&gt;=INDEX('기준표'!$D$1:$D$16,IF(B7="CR-39",14,IF(B7="폴리카보네이트",15,IF(B7="하이인덱스",16,0)))),G7&lt;=INDEX('기준표'!$F$1:$F$16,IF(B7="CR-39",14,IF(B7="폴리카보네이트",15,IF(B7="하이인덱스",16,0))))),"통과","불합격: 굴절률 "&amp;G7&amp;" (허용 "&amp;INDEX('기준표'!$D$1:$D$16,IF(B7="CR-39",14,IF(B7="폴리카보네이트",15,IF(B7="하이인덱스",16,0))))&amp;"~"&amp;INDEX('기준표'!$F$1:$F$16,IF(B7="CR-39",14,IF(B7="폴리카보네이트",15,IF(B7="하이인덱스",16,0))))&amp;")")))</x:f>
        <x:v>통과</x:v>
      </x:c>
    </x:row>
    <x:row r="8" ht="76" customHeight="1">
      <x:c r="A8" s="2" t="str">
        <x:v>L007</x:v>
      </x:c>
      <x:c r="B8" s="10" t="str">
        <x:v>CR-39</x:v>
      </x:c>
      <x:c r="C8" s="10" t="str">
        <x:v>옵티클리어 UV프로텍트 003</x:v>
      </x:c>
      <x:c r="D8" s="7" t="n">
        <x:v>1</x:v>
      </x:c>
      <x:c r="E8" s="7" t="n">
        <x:v>1</x:v>
      </x:c>
      <x:c r="F8" s="7" t="n">
        <x:v>1</x:v>
      </x:c>
      <x:c r="G8" s="7" t="n">
        <x:v>1.497</x:v>
      </x:c>
      <x:c r="H8" s="7" t="n">
        <x:v>93</x:v>
      </x:c>
      <x:c r="I8" s="7" t="n">
        <x:v>1.2</x:v>
      </x:c>
      <x:c r="J8" s="7" t="n">
        <x:v>71.36</x:v>
      </x:c>
      <x:c r="K8" s="7" t="n">
        <x:v>1.85</x:v>
      </x:c>
      <x:c r="L8" s="7" t="n">
        <x:v>1.99</x:v>
      </x:c>
      <x:c r="M8" s="7" t="n">
        <x:v>79.1</x:v>
      </x:c>
      <x:c r="N8" s="7" t="n">
        <x:v>99.7</x:v>
      </x:c>
      <x:c r="O8" s="7" t="n">
        <x:v>0.48</x:v>
      </x:c>
      <x:c r="P8" s="7" t="n">
        <x:v>15.5</x:v>
      </x:c>
      <x:c r="Q8" s="2" t="str">
        <x:f>IF(OR(LEFT(U8,3)="불합격",LEFT(V8,3)="불합격",LEFT(W8,3)="불합격",LEFT(X8,3)="불합격",LEFT(Y8,3)="불합격",LEFT(Z8,3)="불합격",LEFT(AA8,3)="불합격",LEFT(AB8,3)="불합격",LEFT(AC8,3)="불합격",LEFT(AD8,3)="불합격",LEFT(AE8,3)="불합격",LEFT(AF8,3)="불합격",LEFT(AG8,3)="불합격"),"불합격",IF(AND(U8="통과",V8="통과",W8="통과",X8="통과",Y8="통과",Z8="통과",AA8="통과",AB8="통과",AC8="통과",AD8="통과",AE8="통과",AF8="통과",AG8="통과"),"합격","판정불가"))</x:f>
        <x:v>불합격</x:v>
      </x:c>
      <x:c r="R8" s="9" t="str">
        <x:f>IF(Q8="합격","13개 항목 모두 허용범위 이내",IF(U8="통과","",U8&amp;CHAR(10))&amp;IF(V8="통과","",V8&amp;CHAR(10))&amp;IF(W8="통과","",W8&amp;CHAR(10))&amp;IF(X8="통과","",X8&amp;CHAR(10))&amp;IF(Y8="통과","",Y8&amp;CHAR(10))&amp;IF(Z8="통과","",Z8&amp;CHAR(10))&amp;IF(AA8="통과","",AA8&amp;CHAR(10))&amp;IF(AB8="통과","",AB8&amp;CHAR(10))&amp;IF(AC8="통과","",AC8&amp;CHAR(10))&amp;IF(AD8="통과","",AD8&amp;CHAR(10))&amp;IF(AE8="통과","",AE8&amp;CHAR(10))&amp;IF(AF8="통과","",AF8&amp;CHAR(10))&amp;IF(AG8="통과","",AG8&amp;CHAR(10)))</x:f>
        <x:v>불합격: 틴트농도 15.5 (허용 17~23)
</x:v>
      </x:c>
      <x:c r="S8" s="2" t="str">
        <x:v>합격</x:v>
      </x:c>
      <x:c r="T8" s="9"/>
      <x:c r="U8" s="2" t="str">
        <x:f>IF(NOT(ISNUMBER(D8)),"판정불가: 스크래치등급 누락",IF(AND(D8&gt;='기준표'!$D$2,D8&lt;='기준표'!$F$2),"통과","불합격: 스크래치등급 "&amp;D8&amp;" (허용 "&amp;'기준표'!$D$2&amp;"~"&amp;'기준표'!$F$2&amp;")"))</x:f>
        <x:v>통과</x:v>
      </x:c>
      <x:c r="V8" s="2" t="str">
        <x:f>IF(NOT(ISNUMBER(E8)),"판정불가: 기포이물질개수 누락",IF(AND(E8&gt;='기준표'!$D$3,E8&lt;='기준표'!$F$3),"통과","불합격: 기포이물질개수 "&amp;E8&amp;" (허용 "&amp;'기준표'!$D$3&amp;"~"&amp;'기준표'!$F$3&amp;")"))</x:f>
        <x:v>통과</x:v>
      </x:c>
      <x:c r="W8" s="2" t="str">
        <x:f>IF(NOT(ISNUMBER(F8)),"판정불가: 코팅불량개수 누락",IF(AND(F8&gt;='기준표'!$D$4,F8&lt;='기준표'!$F$4),"통과","불합격: 코팅불량개수 "&amp;F8&amp;" (허용 "&amp;'기준표'!$D$4&amp;"~"&amp;'기준표'!$F$4&amp;")"))</x:f>
        <x:v>통과</x:v>
      </x:c>
      <x:c r="X8" s="2" t="str">
        <x:f>IF(NOT(ISNUMBER(H8)),"판정불가: 광투과율 누락",IF(AND(H8&gt;='기준표'!$D$5,H8&lt;='기준표'!$F$5),"통과","불합격: 광투과율 "&amp;H8&amp;" (허용 "&amp;'기준표'!$D$5&amp;"~"&amp;'기준표'!$F$5&amp;")"))</x:f>
        <x:v>통과</x:v>
      </x:c>
      <x:c r="Y8" s="2" t="str">
        <x:f>IF(NOT(ISNUMBER(I8)),"판정불가: 왜곡률 누락",IF(AND(I8&gt;='기준표'!$D$6,I8&lt;='기준표'!$F$6),"통과","불합격: 왜곡률 "&amp;I8&amp;" (허용 "&amp;'기준표'!$D$6&amp;"~"&amp;'기준표'!$F$6&amp;")"))</x:f>
        <x:v>통과</x:v>
      </x:c>
      <x:c r="Z8" s="2" t="str">
        <x:f>IF(NOT(ISNUMBER(J8)),"판정불가: 렌즈직경 누락",IF(AND(J8&gt;='기준표'!$D$7,J8&lt;='기준표'!$F$7),"통과","불합격: 렌즈직경 "&amp;J8&amp;" (허용 "&amp;'기준표'!$D$7&amp;"~"&amp;'기준표'!$F$7&amp;")"))</x:f>
        <x:v>통과</x:v>
      </x:c>
      <x:c r="AA8" s="2" t="str">
        <x:f>IF(NOT(ISNUMBER(K8)),"판정불가: 중심두께 누락",IF(AND(K8&gt;='기준표'!$D$8,K8&lt;='기준표'!$F$8),"통과","불합격: 중심두께 "&amp;K8&amp;" (허용 "&amp;'기준표'!$D$8&amp;"~"&amp;'기준표'!$F$8&amp;")"))</x:f>
        <x:v>통과</x:v>
      </x:c>
      <x:c r="AB8" s="2" t="str">
        <x:f>IF(NOT(ISNUMBER(L8)),"판정불가: 가장자리두께 누락",IF(AND(L8&gt;='기준표'!$D$9,L8&lt;='기준표'!$F$9),"통과","불합격: 가장자리두께 "&amp;L8&amp;" (허용 "&amp;'기준표'!$D$9&amp;"~"&amp;'기준표'!$F$9&amp;")"))</x:f>
        <x:v>통과</x:v>
      </x:c>
      <x:c r="AC8" s="2" t="str">
        <x:f>IF(NOT(ISNUMBER(M8)),"판정불가: 곡률반경 누락",IF(AND(M8&gt;='기준표'!$D$10,M8&lt;='기준표'!$F$10),"통과","불합격: 곡률반경 "&amp;M8&amp;" (허용 "&amp;'기준표'!$D$10&amp;"~"&amp;'기준표'!$F$10&amp;")"))</x:f>
        <x:v>통과</x:v>
      </x:c>
      <x:c r="AD8" s="2" t="str">
        <x:f>IF(NOT(ISNUMBER(N8)),"판정불가: UV차단율 누락",IF(AND(N8&gt;='기준표'!$D$11,N8&lt;='기준표'!$F$11),"통과","불합격: UV차단율 "&amp;N8&amp;" (허용 "&amp;'기준표'!$D$11&amp;"~"&amp;'기준표'!$F$11&amp;")"))</x:f>
        <x:v>통과</x:v>
      </x:c>
      <x:c r="AE8" s="2" t="str">
        <x:f>IF(NOT(ISNUMBER(O8)),"판정불가: 색상균일도 누락",IF(AND(O8&gt;='기준표'!$D$12,O8&lt;='기준표'!$F$12),"통과","불합격: 색상균일도 "&amp;O8&amp;" (허용 "&amp;'기준표'!$D$12&amp;"~"&amp;'기준표'!$F$12&amp;")"))</x:f>
        <x:v>통과</x:v>
      </x:c>
      <x:c r="AF8" s="2" t="str">
        <x:f>IF(NOT(ISNUMBER(P8)),"판정불가: 틴트농도 누락",IF(AND(P8&gt;='기준표'!$D$13,P8&lt;='기준표'!$F$13),"통과","불합격: 틴트농도 "&amp;P8&amp;" (허용 "&amp;'기준표'!$D$13&amp;"~"&amp;'기준표'!$F$13&amp;")"))</x:f>
        <x:v>불합격: 틴트농도 15.5 (허용 17~23)</x:v>
      </x:c>
      <x:c r="AG8" s="2" t="str">
        <x:f>IF(IF(B8="CR-39",14,IF(B8="폴리카보네이트",15,IF(B8="하이인덱스",16,0)))=0,"판정불가: 소재 기준 없음",IF(NOT(ISNUMBER(G8)),"판정불가: 굴절률 누락",IF(AND(G8&gt;=INDEX('기준표'!$D$1:$D$16,IF(B8="CR-39",14,IF(B8="폴리카보네이트",15,IF(B8="하이인덱스",16,0)))),G8&lt;=INDEX('기준표'!$F$1:$F$16,IF(B8="CR-39",14,IF(B8="폴리카보네이트",15,IF(B8="하이인덱스",16,0))))),"통과","불합격: 굴절률 "&amp;G8&amp;" (허용 "&amp;INDEX('기준표'!$D$1:$D$16,IF(B8="CR-39",14,IF(B8="폴리카보네이트",15,IF(B8="하이인덱스",16,0))))&amp;"~"&amp;INDEX('기준표'!$F$1:$F$16,IF(B8="CR-39",14,IF(B8="폴리카보네이트",15,IF(B8="하이인덱스",16,0))))&amp;")")))</x:f>
        <x:v>통과</x:v>
      </x:c>
    </x:row>
    <x:row r="9" ht="76" customHeight="1">
      <x:c r="A9" s="2" t="str">
        <x:v>L008</x:v>
      </x:c>
      <x:c r="B9" s="10" t="str">
        <x:v>CR-39</x:v>
      </x:c>
      <x:c r="C9" s="10" t="str">
        <x:v>클리어뷰 선글라스틴트 017</x:v>
      </x:c>
      <x:c r="D9" s="7" t="n">
        <x:v>0</x:v>
      </x:c>
      <x:c r="E9" s="7" t="n">
        <x:v>0</x:v>
      </x:c>
      <x:c r="F9" s="7" t="n">
        <x:v>1</x:v>
      </x:c>
      <x:c r="G9" s="7" t="n">
        <x:v>1.502</x:v>
      </x:c>
      <x:c r="H9" s="7" t="n">
        <x:v>96.2</x:v>
      </x:c>
      <x:c r="I9" s="7" t="n">
        <x:v>1.4</x:v>
      </x:c>
      <x:c r="J9" s="7" t="n">
        <x:v>72.26</x:v>
      </x:c>
      <x:c r="K9" s="7" t="n">
        <x:v>2.13</x:v>
      </x:c>
      <x:c r="L9" s="7" t="n">
        <x:v>1.47</x:v>
      </x:c>
      <x:c r="M9" s="7" t="n">
        <x:v>76.7</x:v>
      </x:c>
      <x:c r="N9" s="7" t="n">
        <x:v>99.4</x:v>
      </x:c>
      <x:c r="O9" s="7" t="n">
        <x:v>0.53</x:v>
      </x:c>
      <x:c r="P9" s="7" t="n">
        <x:v>14.6</x:v>
      </x:c>
      <x:c r="Q9" s="2" t="str">
        <x:f>IF(OR(LEFT(U9,3)="불합격",LEFT(V9,3)="불합격",LEFT(W9,3)="불합격",LEFT(X9,3)="불합격",LEFT(Y9,3)="불합격",LEFT(Z9,3)="불합격",LEFT(AA9,3)="불합격",LEFT(AB9,3)="불합격",LEFT(AC9,3)="불합격",LEFT(AD9,3)="불합격",LEFT(AE9,3)="불합격",LEFT(AF9,3)="불합격",LEFT(AG9,3)="불합격"),"불합격",IF(AND(U9="통과",V9="통과",W9="통과",X9="통과",Y9="통과",Z9="통과",AA9="통과",AB9="통과",AC9="통과",AD9="통과",AE9="통과",AF9="통과",AG9="통과"),"합격","판정불가"))</x:f>
        <x:v>불합격</x:v>
      </x:c>
      <x:c r="R9" s="9" t="str">
        <x:f>IF(Q9="합격","13개 항목 모두 허용범위 이내",IF(U9="통과","",U9&amp;CHAR(10))&amp;IF(V9="통과","",V9&amp;CHAR(10))&amp;IF(W9="통과","",W9&amp;CHAR(10))&amp;IF(X9="통과","",X9&amp;CHAR(10))&amp;IF(Y9="통과","",Y9&amp;CHAR(10))&amp;IF(Z9="통과","",Z9&amp;CHAR(10))&amp;IF(AA9="통과","",AA9&amp;CHAR(10))&amp;IF(AB9="통과","",AB9&amp;CHAR(10))&amp;IF(AC9="통과","",AC9&amp;CHAR(10))&amp;IF(AD9="통과","",AD9&amp;CHAR(10))&amp;IF(AE9="통과","",AE9&amp;CHAR(10))&amp;IF(AF9="통과","",AF9&amp;CHAR(10))&amp;IF(AG9="통과","",AG9&amp;CHAR(10)))</x:f>
        <x:v>불합격: 틴트농도 14.6 (허용 17~23)
</x:v>
      </x:c>
      <x:c r="S9" s="2" t="str">
        <x:v>불량</x:v>
      </x:c>
      <x:c r="T9" s="9" t="str">
        <x:v>틴트농도</x:v>
      </x:c>
      <x:c r="U9" s="2" t="str">
        <x:f>IF(NOT(ISNUMBER(D9)),"판정불가: 스크래치등급 누락",IF(AND(D9&gt;='기준표'!$D$2,D9&lt;='기준표'!$F$2),"통과","불합격: 스크래치등급 "&amp;D9&amp;" (허용 "&amp;'기준표'!$D$2&amp;"~"&amp;'기준표'!$F$2&amp;")"))</x:f>
        <x:v>통과</x:v>
      </x:c>
      <x:c r="V9" s="2" t="str">
        <x:f>IF(NOT(ISNUMBER(E9)),"판정불가: 기포이물질개수 누락",IF(AND(E9&gt;='기준표'!$D$3,E9&lt;='기준표'!$F$3),"통과","불합격: 기포이물질개수 "&amp;E9&amp;" (허용 "&amp;'기준표'!$D$3&amp;"~"&amp;'기준표'!$F$3&amp;")"))</x:f>
        <x:v>통과</x:v>
      </x:c>
      <x:c r="W9" s="2" t="str">
        <x:f>IF(NOT(ISNUMBER(F9)),"판정불가: 코팅불량개수 누락",IF(AND(F9&gt;='기준표'!$D$4,F9&lt;='기준표'!$F$4),"통과","불합격: 코팅불량개수 "&amp;F9&amp;" (허용 "&amp;'기준표'!$D$4&amp;"~"&amp;'기준표'!$F$4&amp;")"))</x:f>
        <x:v>통과</x:v>
      </x:c>
      <x:c r="X9" s="2" t="str">
        <x:f>IF(NOT(ISNUMBER(H9)),"판정불가: 광투과율 누락",IF(AND(H9&gt;='기준표'!$D$5,H9&lt;='기준표'!$F$5),"통과","불합격: 광투과율 "&amp;H9&amp;" (허용 "&amp;'기준표'!$D$5&amp;"~"&amp;'기준표'!$F$5&amp;")"))</x:f>
        <x:v>통과</x:v>
      </x:c>
      <x:c r="Y9" s="2" t="str">
        <x:f>IF(NOT(ISNUMBER(I9)),"판정불가: 왜곡률 누락",IF(AND(I9&gt;='기준표'!$D$6,I9&lt;='기준표'!$F$6),"통과","불합격: 왜곡률 "&amp;I9&amp;" (허용 "&amp;'기준표'!$D$6&amp;"~"&amp;'기준표'!$F$6&amp;")"))</x:f>
        <x:v>통과</x:v>
      </x:c>
      <x:c r="Z9" s="2" t="str">
        <x:f>IF(NOT(ISNUMBER(J9)),"판정불가: 렌즈직경 누락",IF(AND(J9&gt;='기준표'!$D$7,J9&lt;='기준표'!$F$7),"통과","불합격: 렌즈직경 "&amp;J9&amp;" (허용 "&amp;'기준표'!$D$7&amp;"~"&amp;'기준표'!$F$7&amp;")"))</x:f>
        <x:v>통과</x:v>
      </x:c>
      <x:c r="AA9" s="2" t="str">
        <x:f>IF(NOT(ISNUMBER(K9)),"판정불가: 중심두께 누락",IF(AND(K9&gt;='기준표'!$D$8,K9&lt;='기준표'!$F$8),"통과","불합격: 중심두께 "&amp;K9&amp;" (허용 "&amp;'기준표'!$D$8&amp;"~"&amp;'기준표'!$F$8&amp;")"))</x:f>
        <x:v>통과</x:v>
      </x:c>
      <x:c r="AB9" s="2" t="str">
        <x:f>IF(NOT(ISNUMBER(L9)),"판정불가: 가장자리두께 누락",IF(AND(L9&gt;='기준표'!$D$9,L9&lt;='기준표'!$F$9),"통과","불합격: 가장자리두께 "&amp;L9&amp;" (허용 "&amp;'기준표'!$D$9&amp;"~"&amp;'기준표'!$F$9&amp;")"))</x:f>
        <x:v>통과</x:v>
      </x:c>
      <x:c r="AC9" s="2" t="str">
        <x:f>IF(NOT(ISNUMBER(M9)),"판정불가: 곡률반경 누락",IF(AND(M9&gt;='기준표'!$D$10,M9&lt;='기준표'!$F$10),"통과","불합격: 곡률반경 "&amp;M9&amp;" (허용 "&amp;'기준표'!$D$10&amp;"~"&amp;'기준표'!$F$10&amp;")"))</x:f>
        <x:v>통과</x:v>
      </x:c>
      <x:c r="AD9" s="2" t="str">
        <x:f>IF(NOT(ISNUMBER(N9)),"판정불가: UV차단율 누락",IF(AND(N9&gt;='기준표'!$D$11,N9&lt;='기준표'!$F$11),"통과","불합격: UV차단율 "&amp;N9&amp;" (허용 "&amp;'기준표'!$D$11&amp;"~"&amp;'기준표'!$F$11&amp;")"))</x:f>
        <x:v>통과</x:v>
      </x:c>
      <x:c r="AE9" s="2" t="str">
        <x:f>IF(NOT(ISNUMBER(O9)),"판정불가: 색상균일도 누락",IF(AND(O9&gt;='기준표'!$D$12,O9&lt;='기준표'!$F$12),"통과","불합격: 색상균일도 "&amp;O9&amp;" (허용 "&amp;'기준표'!$D$12&amp;"~"&amp;'기준표'!$F$12&amp;")"))</x:f>
        <x:v>통과</x:v>
      </x:c>
      <x:c r="AF9" s="2" t="str">
        <x:f>IF(NOT(ISNUMBER(P9)),"판정불가: 틴트농도 누락",IF(AND(P9&gt;='기준표'!$D$13,P9&lt;='기준표'!$F$13),"통과","불합격: 틴트농도 "&amp;P9&amp;" (허용 "&amp;'기준표'!$D$13&amp;"~"&amp;'기준표'!$F$13&amp;")"))</x:f>
        <x:v>불합격: 틴트농도 14.6 (허용 17~23)</x:v>
      </x:c>
      <x:c r="AG9" s="2" t="str">
        <x:f>IF(IF(B9="CR-39",14,IF(B9="폴리카보네이트",15,IF(B9="하이인덱스",16,0)))=0,"판정불가: 소재 기준 없음",IF(NOT(ISNUMBER(G9)),"판정불가: 굴절률 누락",IF(AND(G9&gt;=INDEX('기준표'!$D$1:$D$16,IF(B9="CR-39",14,IF(B9="폴리카보네이트",15,IF(B9="하이인덱스",16,0)))),G9&lt;=INDEX('기준표'!$F$1:$F$16,IF(B9="CR-39",14,IF(B9="폴리카보네이트",15,IF(B9="하이인덱스",16,0))))),"통과","불합격: 굴절률 "&amp;G9&amp;" (허용 "&amp;INDEX('기준표'!$D$1:$D$16,IF(B9="CR-39",14,IF(B9="폴리카보네이트",15,IF(B9="하이인덱스",16,0))))&amp;"~"&amp;INDEX('기준표'!$F$1:$F$16,IF(B9="CR-39",14,IF(B9="폴리카보네이트",15,IF(B9="하이인덱스",16,0))))&amp;")")))</x:f>
        <x:v>통과</x:v>
      </x:c>
    </x:row>
    <x:row r="10" ht="76" customHeight="1">
      <x:c r="A10" s="2" t="str">
        <x:v>L009</x:v>
      </x:c>
      <x:c r="B10" s="10" t="str">
        <x:v>하이인덱스</x:v>
      </x:c>
      <x:c r="C10" s="10" t="str">
        <x:v>루체나 UV프로텍트 010</x:v>
      </x:c>
      <x:c r="D10" s="7" t="n">
        <x:v>1</x:v>
      </x:c>
      <x:c r="E10" s="7" t="n">
        <x:v>1</x:v>
      </x:c>
      <x:c r="F10" s="7" t="n">
        <x:v>1</x:v>
      </x:c>
      <x:c r="G10" s="7" t="n">
        <x:v>1.681</x:v>
      </x:c>
      <x:c r="H10" s="7" t="n">
        <x:v>87.8</x:v>
      </x:c>
      <x:c r="I10" s="7" t="n">
        <x:v>0.8</x:v>
      </x:c>
      <x:c r="J10" s="7" t="n">
        <x:v>74.46</x:v>
      </x:c>
      <x:c r="K10" s="7" t="n">
        <x:v>2.01</x:v>
      </x:c>
      <x:c r="L10" s="7" t="n">
        <x:v>1.59</x:v>
      </x:c>
      <x:c r="M10" s="7" t="n">
        <x:v>80.7</x:v>
      </x:c>
      <x:c r="N10" s="7" t="n">
        <x:v>99.7</x:v>
      </x:c>
      <x:c r="O10" s="7" t="n">
        <x:v>0.82</x:v>
      </x:c>
      <x:c r="P10" s="7" t="n">
        <x:v>18</x:v>
      </x:c>
      <x:c r="Q10" s="2" t="str">
        <x:f>IF(OR(LEFT(U10,3)="불합격",LEFT(V10,3)="불합격",LEFT(W10,3)="불합격",LEFT(X10,3)="불합격",LEFT(Y10,3)="불합격",LEFT(Z10,3)="불합격",LEFT(AA10,3)="불합격",LEFT(AB10,3)="불합격",LEFT(AC10,3)="불합격",LEFT(AD10,3)="불합격",LEFT(AE10,3)="불합격",LEFT(AF10,3)="불합격",LEFT(AG10,3)="불합격"),"불합격",IF(AND(U10="통과",V10="통과",W10="통과",X10="통과",Y10="통과",Z10="통과",AA10="통과",AB10="통과",AC10="통과",AD10="통과",AE10="통과",AF10="통과",AG10="통과"),"합격","판정불가"))</x:f>
        <x:v>불합격</x:v>
      </x:c>
      <x:c r="R10" s="9" t="str">
        <x:f>IF(Q10="합격","13개 항목 모두 허용범위 이내",IF(U10="통과","",U10&amp;CHAR(10))&amp;IF(V10="통과","",V10&amp;CHAR(10))&amp;IF(W10="통과","",W10&amp;CHAR(10))&amp;IF(X10="통과","",X10&amp;CHAR(10))&amp;IF(Y10="통과","",Y10&amp;CHAR(10))&amp;IF(Z10="통과","",Z10&amp;CHAR(10))&amp;IF(AA10="통과","",AA10&amp;CHAR(10))&amp;IF(AB10="통과","",AB10&amp;CHAR(10))&amp;IF(AC10="통과","",AC10&amp;CHAR(10))&amp;IF(AD10="통과","",AD10&amp;CHAR(10))&amp;IF(AE10="통과","",AE10&amp;CHAR(10))&amp;IF(AF10="통과","",AF10&amp;CHAR(10))&amp;IF(AG10="통과","",AG10&amp;CHAR(10)))</x:f>
        <x:v>불합격: 렌즈직경 74.46 (허용 70~74)
</x:v>
      </x:c>
      <x:c r="S10" s="2" t="str">
        <x:v>합격</x:v>
      </x:c>
      <x:c r="T10" s="9"/>
      <x:c r="U10" s="2" t="str">
        <x:f>IF(NOT(ISNUMBER(D10)),"판정불가: 스크래치등급 누락",IF(AND(D10&gt;='기준표'!$D$2,D10&lt;='기준표'!$F$2),"통과","불합격: 스크래치등급 "&amp;D10&amp;" (허용 "&amp;'기준표'!$D$2&amp;"~"&amp;'기준표'!$F$2&amp;")"))</x:f>
        <x:v>통과</x:v>
      </x:c>
      <x:c r="V10" s="2" t="str">
        <x:f>IF(NOT(ISNUMBER(E10)),"판정불가: 기포이물질개수 누락",IF(AND(E10&gt;='기준표'!$D$3,E10&lt;='기준표'!$F$3),"통과","불합격: 기포이물질개수 "&amp;E10&amp;" (허용 "&amp;'기준표'!$D$3&amp;"~"&amp;'기준표'!$F$3&amp;")"))</x:f>
        <x:v>통과</x:v>
      </x:c>
      <x:c r="W10" s="2" t="str">
        <x:f>IF(NOT(ISNUMBER(F10)),"판정불가: 코팅불량개수 누락",IF(AND(F10&gt;='기준표'!$D$4,F10&lt;='기준표'!$F$4),"통과","불합격: 코팅불량개수 "&amp;F10&amp;" (허용 "&amp;'기준표'!$D$4&amp;"~"&amp;'기준표'!$F$4&amp;")"))</x:f>
        <x:v>통과</x:v>
      </x:c>
      <x:c r="X10" s="2" t="str">
        <x:f>IF(NOT(ISNUMBER(H10)),"판정불가: 광투과율 누락",IF(AND(H10&gt;='기준표'!$D$5,H10&lt;='기준표'!$F$5),"통과","불합격: 광투과율 "&amp;H10&amp;" (허용 "&amp;'기준표'!$D$5&amp;"~"&amp;'기준표'!$F$5&amp;")"))</x:f>
        <x:v>통과</x:v>
      </x:c>
      <x:c r="Y10" s="2" t="str">
        <x:f>IF(NOT(ISNUMBER(I10)),"판정불가: 왜곡률 누락",IF(AND(I10&gt;='기준표'!$D$6,I10&lt;='기준표'!$F$6),"통과","불합격: 왜곡률 "&amp;I10&amp;" (허용 "&amp;'기준표'!$D$6&amp;"~"&amp;'기준표'!$F$6&amp;")"))</x:f>
        <x:v>통과</x:v>
      </x:c>
      <x:c r="Z10" s="2" t="str">
        <x:f>IF(NOT(ISNUMBER(J10)),"판정불가: 렌즈직경 누락",IF(AND(J10&gt;='기준표'!$D$7,J10&lt;='기준표'!$F$7),"통과","불합격: 렌즈직경 "&amp;J10&amp;" (허용 "&amp;'기준표'!$D$7&amp;"~"&amp;'기준표'!$F$7&amp;")"))</x:f>
        <x:v>불합격: 렌즈직경 74.46 (허용 70~74)</x:v>
      </x:c>
      <x:c r="AA10" s="2" t="str">
        <x:f>IF(NOT(ISNUMBER(K10)),"판정불가: 중심두께 누락",IF(AND(K10&gt;='기준표'!$D$8,K10&lt;='기준표'!$F$8),"통과","불합격: 중심두께 "&amp;K10&amp;" (허용 "&amp;'기준표'!$D$8&amp;"~"&amp;'기준표'!$F$8&amp;")"))</x:f>
        <x:v>통과</x:v>
      </x:c>
      <x:c r="AB10" s="2" t="str">
        <x:f>IF(NOT(ISNUMBER(L10)),"판정불가: 가장자리두께 누락",IF(AND(L10&gt;='기준표'!$D$9,L10&lt;='기준표'!$F$9),"통과","불합격: 가장자리두께 "&amp;L10&amp;" (허용 "&amp;'기준표'!$D$9&amp;"~"&amp;'기준표'!$F$9&amp;")"))</x:f>
        <x:v>통과</x:v>
      </x:c>
      <x:c r="AC10" s="2" t="str">
        <x:f>IF(NOT(ISNUMBER(M10)),"판정불가: 곡률반경 누락",IF(AND(M10&gt;='기준표'!$D$10,M10&lt;='기준표'!$F$10),"통과","불합격: 곡률반경 "&amp;M10&amp;" (허용 "&amp;'기준표'!$D$10&amp;"~"&amp;'기준표'!$F$10&amp;")"))</x:f>
        <x:v>통과</x:v>
      </x:c>
      <x:c r="AD10" s="2" t="str">
        <x:f>IF(NOT(ISNUMBER(N10)),"판정불가: UV차단율 누락",IF(AND(N10&gt;='기준표'!$D$11,N10&lt;='기준표'!$F$11),"통과","불합격: UV차단율 "&amp;N10&amp;" (허용 "&amp;'기준표'!$D$11&amp;"~"&amp;'기준표'!$F$11&amp;")"))</x:f>
        <x:v>통과</x:v>
      </x:c>
      <x:c r="AE10" s="2" t="str">
        <x:f>IF(NOT(ISNUMBER(O10)),"판정불가: 색상균일도 누락",IF(AND(O10&gt;='기준표'!$D$12,O10&lt;='기준표'!$F$12),"통과","불합격: 색상균일도 "&amp;O10&amp;" (허용 "&amp;'기준표'!$D$12&amp;"~"&amp;'기준표'!$F$12&amp;")"))</x:f>
        <x:v>통과</x:v>
      </x:c>
      <x:c r="AF10" s="2" t="str">
        <x:f>IF(NOT(ISNUMBER(P10)),"판정불가: 틴트농도 누락",IF(AND(P10&gt;='기준표'!$D$13,P10&lt;='기준표'!$F$13),"통과","불합격: 틴트농도 "&amp;P10&amp;" (허용 "&amp;'기준표'!$D$13&amp;"~"&amp;'기준표'!$F$13&amp;")"))</x:f>
        <x:v>통과</x:v>
      </x:c>
      <x:c r="AG10" s="2" t="str">
        <x:f>IF(IF(B10="CR-39",14,IF(B10="폴리카보네이트",15,IF(B10="하이인덱스",16,0)))=0,"판정불가: 소재 기준 없음",IF(NOT(ISNUMBER(G10)),"판정불가: 굴절률 누락",IF(AND(G10&gt;=INDEX('기준표'!$D$1:$D$16,IF(B10="CR-39",14,IF(B10="폴리카보네이트",15,IF(B10="하이인덱스",16,0)))),G10&lt;=INDEX('기준표'!$F$1:$F$16,IF(B10="CR-39",14,IF(B10="폴리카보네이트",15,IF(B10="하이인덱스",16,0))))),"통과","불합격: 굴절률 "&amp;G10&amp;" (허용 "&amp;INDEX('기준표'!$D$1:$D$16,IF(B10="CR-39",14,IF(B10="폴리카보네이트",15,IF(B10="하이인덱스",16,0))))&amp;"~"&amp;INDEX('기준표'!$F$1:$F$16,IF(B10="CR-39",14,IF(B10="폴리카보네이트",15,IF(B10="하이인덱스",16,0))))&amp;")")))</x:f>
        <x:v>통과</x:v>
      </x:c>
    </x:row>
    <x:row r="11" ht="76" customHeight="1">
      <x:c r="A11" s="2" t="str">
        <x:v>L010</x:v>
      </x:c>
      <x:c r="B11" s="10" t="str">
        <x:v>하이인덱스</x:v>
      </x:c>
      <x:c r="C11" s="10" t="str">
        <x:v>선샤인가드 프리미엄 020</x:v>
      </x:c>
      <x:c r="D11" s="7" t="n">
        <x:v>1</x:v>
      </x:c>
      <x:c r="E11" s="7" t="n">
        <x:v>0</x:v>
      </x:c>
      <x:c r="F11" s="7" t="n">
        <x:v>1</x:v>
      </x:c>
      <x:c r="G11" s="7" t="n">
        <x:v>1.683</x:v>
      </x:c>
      <x:c r="H11" s="7" t="n">
        <x:v>88.2</x:v>
      </x:c>
      <x:c r="I11" s="7" t="n">
        <x:v>2</x:v>
      </x:c>
      <x:c r="J11" s="7" t="n">
        <x:v>73.3</x:v>
      </x:c>
      <x:c r="K11" s="7" t="n">
        <x:v>1.81</x:v>
      </x:c>
      <x:c r="L11" s="7" t="n">
        <x:v>1.57</x:v>
      </x:c>
      <x:c r="M11" s="7" t="n">
        <x:v>76.3</x:v>
      </x:c>
      <x:c r="N11" s="7" t="n">
        <x:v>99.5</x:v>
      </x:c>
      <x:c r="O11" s="7" t="n">
        <x:v>0.58</x:v>
      </x:c>
      <x:c r="P11" s="7" t="n">
        <x:v>23.4</x:v>
      </x:c>
      <x:c r="Q11" s="2" t="str">
        <x:f>IF(OR(LEFT(U11,3)="불합격",LEFT(V11,3)="불합격",LEFT(W11,3)="불합격",LEFT(X11,3)="불합격",LEFT(Y11,3)="불합격",LEFT(Z11,3)="불합격",LEFT(AA11,3)="불합격",LEFT(AB11,3)="불합격",LEFT(AC11,3)="불합격",LEFT(AD11,3)="불합격",LEFT(AE11,3)="불합격",LEFT(AF11,3)="불합격",LEFT(AG11,3)="불합격"),"불합격",IF(AND(U11="통과",V11="통과",W11="통과",X11="통과",Y11="통과",Z11="통과",AA11="통과",AB11="통과",AC11="통과",AD11="통과",AE11="통과",AF11="통과",AG11="통과"),"합격","판정불가"))</x:f>
        <x:v>불합격</x:v>
      </x:c>
      <x:c r="R11" s="9" t="str">
        <x:f>IF(Q11="합격","13개 항목 모두 허용범위 이내",IF(U11="통과","",U11&amp;CHAR(10))&amp;IF(V11="통과","",V11&amp;CHAR(10))&amp;IF(W11="통과","",W11&amp;CHAR(10))&amp;IF(X11="통과","",X11&amp;CHAR(10))&amp;IF(Y11="통과","",Y11&amp;CHAR(10))&amp;IF(Z11="통과","",Z11&amp;CHAR(10))&amp;IF(AA11="통과","",AA11&amp;CHAR(10))&amp;IF(AB11="통과","",AB11&amp;CHAR(10))&amp;IF(AC11="통과","",AC11&amp;CHAR(10))&amp;IF(AD11="통과","",AD11&amp;CHAR(10))&amp;IF(AE11="통과","",AE11&amp;CHAR(10))&amp;IF(AF11="통과","",AF11&amp;CHAR(10))&amp;IF(AG11="통과","",AG11&amp;CHAR(10)))</x:f>
        <x:v>불합격: 틴트농도 23.4 (허용 17~23)
</x:v>
      </x:c>
      <x:c r="S11" s="2" t="str">
        <x:v>합격</x:v>
      </x:c>
      <x:c r="T11" s="9"/>
      <x:c r="U11" s="2" t="str">
        <x:f>IF(NOT(ISNUMBER(D11)),"판정불가: 스크래치등급 누락",IF(AND(D11&gt;='기준표'!$D$2,D11&lt;='기준표'!$F$2),"통과","불합격: 스크래치등급 "&amp;D11&amp;" (허용 "&amp;'기준표'!$D$2&amp;"~"&amp;'기준표'!$F$2&amp;")"))</x:f>
        <x:v>통과</x:v>
      </x:c>
      <x:c r="V11" s="2" t="str">
        <x:f>IF(NOT(ISNUMBER(E11)),"판정불가: 기포이물질개수 누락",IF(AND(E11&gt;='기준표'!$D$3,E11&lt;='기준표'!$F$3),"통과","불합격: 기포이물질개수 "&amp;E11&amp;" (허용 "&amp;'기준표'!$D$3&amp;"~"&amp;'기준표'!$F$3&amp;")"))</x:f>
        <x:v>통과</x:v>
      </x:c>
      <x:c r="W11" s="2" t="str">
        <x:f>IF(NOT(ISNUMBER(F11)),"판정불가: 코팅불량개수 누락",IF(AND(F11&gt;='기준표'!$D$4,F11&lt;='기준표'!$F$4),"통과","불합격: 코팅불량개수 "&amp;F11&amp;" (허용 "&amp;'기준표'!$D$4&amp;"~"&amp;'기준표'!$F$4&amp;")"))</x:f>
        <x:v>통과</x:v>
      </x:c>
      <x:c r="X11" s="2" t="str">
        <x:f>IF(NOT(ISNUMBER(H11)),"판정불가: 광투과율 누락",IF(AND(H11&gt;='기준표'!$D$5,H11&lt;='기준표'!$F$5),"통과","불합격: 광투과율 "&amp;H11&amp;" (허용 "&amp;'기준표'!$D$5&amp;"~"&amp;'기준표'!$F$5&amp;")"))</x:f>
        <x:v>통과</x:v>
      </x:c>
      <x:c r="Y11" s="2" t="str">
        <x:f>IF(NOT(ISNUMBER(I11)),"판정불가: 왜곡률 누락",IF(AND(I11&gt;='기준표'!$D$6,I11&lt;='기준표'!$F$6),"통과","불합격: 왜곡률 "&amp;I11&amp;" (허용 "&amp;'기준표'!$D$6&amp;"~"&amp;'기준표'!$F$6&amp;")"))</x:f>
        <x:v>통과</x:v>
      </x:c>
      <x:c r="Z11" s="2" t="str">
        <x:f>IF(NOT(ISNUMBER(J11)),"판정불가: 렌즈직경 누락",IF(AND(J11&gt;='기준표'!$D$7,J11&lt;='기준표'!$F$7),"통과","불합격: 렌즈직경 "&amp;J11&amp;" (허용 "&amp;'기준표'!$D$7&amp;"~"&amp;'기준표'!$F$7&amp;")"))</x:f>
        <x:v>통과</x:v>
      </x:c>
      <x:c r="AA11" s="2" t="str">
        <x:f>IF(NOT(ISNUMBER(K11)),"판정불가: 중심두께 누락",IF(AND(K11&gt;='기준표'!$D$8,K11&lt;='기준표'!$F$8),"통과","불합격: 중심두께 "&amp;K11&amp;" (허용 "&amp;'기준표'!$D$8&amp;"~"&amp;'기준표'!$F$8&amp;")"))</x:f>
        <x:v>통과</x:v>
      </x:c>
      <x:c r="AB11" s="2" t="str">
        <x:f>IF(NOT(ISNUMBER(L11)),"판정불가: 가장자리두께 누락",IF(AND(L11&gt;='기준표'!$D$9,L11&lt;='기준표'!$F$9),"통과","불합격: 가장자리두께 "&amp;L11&amp;" (허용 "&amp;'기준표'!$D$9&amp;"~"&amp;'기준표'!$F$9&amp;")"))</x:f>
        <x:v>통과</x:v>
      </x:c>
      <x:c r="AC11" s="2" t="str">
        <x:f>IF(NOT(ISNUMBER(M11)),"판정불가: 곡률반경 누락",IF(AND(M11&gt;='기준표'!$D$10,M11&lt;='기준표'!$F$10),"통과","불합격: 곡률반경 "&amp;M11&amp;" (허용 "&amp;'기준표'!$D$10&amp;"~"&amp;'기준표'!$F$10&amp;")"))</x:f>
        <x:v>통과</x:v>
      </x:c>
      <x:c r="AD11" s="2" t="str">
        <x:f>IF(NOT(ISNUMBER(N11)),"판정불가: UV차단율 누락",IF(AND(N11&gt;='기준표'!$D$11,N11&lt;='기준표'!$F$11),"통과","불합격: UV차단율 "&amp;N11&amp;" (허용 "&amp;'기준표'!$D$11&amp;"~"&amp;'기준표'!$F$11&amp;")"))</x:f>
        <x:v>통과</x:v>
      </x:c>
      <x:c r="AE11" s="2" t="str">
        <x:f>IF(NOT(ISNUMBER(O11)),"판정불가: 색상균일도 누락",IF(AND(O11&gt;='기준표'!$D$12,O11&lt;='기준표'!$F$12),"통과","불합격: 색상균일도 "&amp;O11&amp;" (허용 "&amp;'기준표'!$D$12&amp;"~"&amp;'기준표'!$F$12&amp;")"))</x:f>
        <x:v>통과</x:v>
      </x:c>
      <x:c r="AF11" s="2" t="str">
        <x:f>IF(NOT(ISNUMBER(P11)),"판정불가: 틴트농도 누락",IF(AND(P11&gt;='기준표'!$D$13,P11&lt;='기준표'!$F$13),"통과","불합격: 틴트농도 "&amp;P11&amp;" (허용 "&amp;'기준표'!$D$13&amp;"~"&amp;'기준표'!$F$13&amp;")"))</x:f>
        <x:v>불합격: 틴트농도 23.4 (허용 17~23)</x:v>
      </x:c>
      <x:c r="AG11" s="2" t="str">
        <x:f>IF(IF(B11="CR-39",14,IF(B11="폴리카보네이트",15,IF(B11="하이인덱스",16,0)))=0,"판정불가: 소재 기준 없음",IF(NOT(ISNUMBER(G11)),"판정불가: 굴절률 누락",IF(AND(G11&gt;=INDEX('기준표'!$D$1:$D$16,IF(B11="CR-39",14,IF(B11="폴리카보네이트",15,IF(B11="하이인덱스",16,0)))),G11&lt;=INDEX('기준표'!$F$1:$F$16,IF(B11="CR-39",14,IF(B11="폴리카보네이트",15,IF(B11="하이인덱스",16,0))))),"통과","불합격: 굴절률 "&amp;G11&amp;" (허용 "&amp;INDEX('기준표'!$D$1:$D$16,IF(B11="CR-39",14,IF(B11="폴리카보네이트",15,IF(B11="하이인덱스",16,0))))&amp;"~"&amp;INDEX('기준표'!$F$1:$F$16,IF(B11="CR-39",14,IF(B11="폴리카보네이트",15,IF(B11="하이인덱스",16,0))))&amp;")")))</x:f>
        <x:v>통과</x:v>
      </x:c>
    </x:row>
    <x:row r="12" ht="76" customHeight="1">
      <x:c r="A12" s="2" t="str">
        <x:v>L011</x:v>
      </x:c>
      <x:c r="B12" s="10" t="str">
        <x:v>하이인덱스</x:v>
      </x:c>
      <x:c r="C12" s="10" t="str">
        <x:v>선샤인가드 프리미엄 021</x:v>
      </x:c>
      <x:c r="D12" s="7" t="n">
        <x:v>1</x:v>
      </x:c>
      <x:c r="E12" s="7" t="n">
        <x:v>1</x:v>
      </x:c>
      <x:c r="F12" s="7" t="n">
        <x:v>1</x:v>
      </x:c>
      <x:c r="G12" s="7" t="n">
        <x:v>1.673</x:v>
      </x:c>
      <x:c r="H12" s="7" t="n">
        <x:v>94.9</x:v>
      </x:c>
      <x:c r="I12" s="7" t="n">
        <x:v>1</x:v>
      </x:c>
      <x:c r="J12" s="7" t="n">
        <x:v>71.32</x:v>
      </x:c>
      <x:c r="K12" s="7" t="n">
        <x:v>2.18</x:v>
      </x:c>
      <x:c r="L12" s="7" t="n">
        <x:v>1.7</x:v>
      </x:c>
      <x:c r="M12" s="7" t="n">
        <x:v>79.2</x:v>
      </x:c>
      <x:c r="N12" s="7" t="n">
        <x:v>99.3</x:v>
      </x:c>
      <x:c r="O12" s="7" t="n">
        <x:v>0.46</x:v>
      </x:c>
      <x:c r="P12" s="7" t="n">
        <x:v>23.1</x:v>
      </x:c>
      <x:c r="Q12" s="2" t="str">
        <x:f>IF(OR(LEFT(U12,3)="불합격",LEFT(V12,3)="불합격",LEFT(W12,3)="불합격",LEFT(X12,3)="불합격",LEFT(Y12,3)="불합격",LEFT(Z12,3)="불합격",LEFT(AA12,3)="불합격",LEFT(AB12,3)="불합격",LEFT(AC12,3)="불합격",LEFT(AD12,3)="불합격",LEFT(AE12,3)="불합격",LEFT(AF12,3)="불합격",LEFT(AG12,3)="불합격"),"불합격",IF(AND(U12="통과",V12="통과",W12="통과",X12="통과",Y12="통과",Z12="통과",AA12="통과",AB12="통과",AC12="통과",AD12="통과",AE12="통과",AF12="통과",AG12="통과"),"합격","판정불가"))</x:f>
        <x:v>불합격</x:v>
      </x:c>
      <x:c r="R12" s="9" t="str">
        <x:f>IF(Q12="합격","13개 항목 모두 허용범위 이내",IF(U12="통과","",U12&amp;CHAR(10))&amp;IF(V12="통과","",V12&amp;CHAR(10))&amp;IF(W12="통과","",W12&amp;CHAR(10))&amp;IF(X12="통과","",X12&amp;CHAR(10))&amp;IF(Y12="통과","",Y12&amp;CHAR(10))&amp;IF(Z12="통과","",Z12&amp;CHAR(10))&amp;IF(AA12="통과","",AA12&amp;CHAR(10))&amp;IF(AB12="통과","",AB12&amp;CHAR(10))&amp;IF(AC12="통과","",AC12&amp;CHAR(10))&amp;IF(AD12="통과","",AD12&amp;CHAR(10))&amp;IF(AE12="통과","",AE12&amp;CHAR(10))&amp;IF(AF12="통과","",AF12&amp;CHAR(10))&amp;IF(AG12="통과","",AG12&amp;CHAR(10)))</x:f>
        <x:v>불합격: 틴트농도 23.1 (허용 17~23)
</x:v>
      </x:c>
      <x:c r="S12" s="2" t="str">
        <x:v>합격</x:v>
      </x:c>
      <x:c r="T12" s="9"/>
      <x:c r="U12" s="2" t="str">
        <x:f>IF(NOT(ISNUMBER(D12)),"판정불가: 스크래치등급 누락",IF(AND(D12&gt;='기준표'!$D$2,D12&lt;='기준표'!$F$2),"통과","불합격: 스크래치등급 "&amp;D12&amp;" (허용 "&amp;'기준표'!$D$2&amp;"~"&amp;'기준표'!$F$2&amp;")"))</x:f>
        <x:v>통과</x:v>
      </x:c>
      <x:c r="V12" s="2" t="str">
        <x:f>IF(NOT(ISNUMBER(E12)),"판정불가: 기포이물질개수 누락",IF(AND(E12&gt;='기준표'!$D$3,E12&lt;='기준표'!$F$3),"통과","불합격: 기포이물질개수 "&amp;E12&amp;" (허용 "&amp;'기준표'!$D$3&amp;"~"&amp;'기준표'!$F$3&amp;")"))</x:f>
        <x:v>통과</x:v>
      </x:c>
      <x:c r="W12" s="2" t="str">
        <x:f>IF(NOT(ISNUMBER(F12)),"판정불가: 코팅불량개수 누락",IF(AND(F12&gt;='기준표'!$D$4,F12&lt;='기준표'!$F$4),"통과","불합격: 코팅불량개수 "&amp;F12&amp;" (허용 "&amp;'기준표'!$D$4&amp;"~"&amp;'기준표'!$F$4&amp;")"))</x:f>
        <x:v>통과</x:v>
      </x:c>
      <x:c r="X12" s="2" t="str">
        <x:f>IF(NOT(ISNUMBER(H12)),"판정불가: 광투과율 누락",IF(AND(H12&gt;='기준표'!$D$5,H12&lt;='기준표'!$F$5),"통과","불합격: 광투과율 "&amp;H12&amp;" (허용 "&amp;'기준표'!$D$5&amp;"~"&amp;'기준표'!$F$5&amp;")"))</x:f>
        <x:v>통과</x:v>
      </x:c>
      <x:c r="Y12" s="2" t="str">
        <x:f>IF(NOT(ISNUMBER(I12)),"판정불가: 왜곡률 누락",IF(AND(I12&gt;='기준표'!$D$6,I12&lt;='기준표'!$F$6),"통과","불합격: 왜곡률 "&amp;I12&amp;" (허용 "&amp;'기준표'!$D$6&amp;"~"&amp;'기준표'!$F$6&amp;")"))</x:f>
        <x:v>통과</x:v>
      </x:c>
      <x:c r="Z12" s="2" t="str">
        <x:f>IF(NOT(ISNUMBER(J12)),"판정불가: 렌즈직경 누락",IF(AND(J12&gt;='기준표'!$D$7,J12&lt;='기준표'!$F$7),"통과","불합격: 렌즈직경 "&amp;J12&amp;" (허용 "&amp;'기준표'!$D$7&amp;"~"&amp;'기준표'!$F$7&amp;")"))</x:f>
        <x:v>통과</x:v>
      </x:c>
      <x:c r="AA12" s="2" t="str">
        <x:f>IF(NOT(ISNUMBER(K12)),"판정불가: 중심두께 누락",IF(AND(K12&gt;='기준표'!$D$8,K12&lt;='기준표'!$F$8),"통과","불합격: 중심두께 "&amp;K12&amp;" (허용 "&amp;'기준표'!$D$8&amp;"~"&amp;'기준표'!$F$8&amp;")"))</x:f>
        <x:v>통과</x:v>
      </x:c>
      <x:c r="AB12" s="2" t="str">
        <x:f>IF(NOT(ISNUMBER(L12)),"판정불가: 가장자리두께 누락",IF(AND(L12&gt;='기준표'!$D$9,L12&lt;='기준표'!$F$9),"통과","불합격: 가장자리두께 "&amp;L12&amp;" (허용 "&amp;'기준표'!$D$9&amp;"~"&amp;'기준표'!$F$9&amp;")"))</x:f>
        <x:v>통과</x:v>
      </x:c>
      <x:c r="AC12" s="2" t="str">
        <x:f>IF(NOT(ISNUMBER(M12)),"판정불가: 곡률반경 누락",IF(AND(M12&gt;='기준표'!$D$10,M12&lt;='기준표'!$F$10),"통과","불합격: 곡률반경 "&amp;M12&amp;" (허용 "&amp;'기준표'!$D$10&amp;"~"&amp;'기준표'!$F$10&amp;")"))</x:f>
        <x:v>통과</x:v>
      </x:c>
      <x:c r="AD12" s="2" t="str">
        <x:f>IF(NOT(ISNUMBER(N12)),"판정불가: UV차단율 누락",IF(AND(N12&gt;='기준표'!$D$11,N12&lt;='기준표'!$F$11),"통과","불합격: UV차단율 "&amp;N12&amp;" (허용 "&amp;'기준표'!$D$11&amp;"~"&amp;'기준표'!$F$11&amp;")"))</x:f>
        <x:v>통과</x:v>
      </x:c>
      <x:c r="AE12" s="2" t="str">
        <x:f>IF(NOT(ISNUMBER(O12)),"판정불가: 색상균일도 누락",IF(AND(O12&gt;='기준표'!$D$12,O12&lt;='기준표'!$F$12),"통과","불합격: 색상균일도 "&amp;O12&amp;" (허용 "&amp;'기준표'!$D$12&amp;"~"&amp;'기준표'!$F$12&amp;")"))</x:f>
        <x:v>통과</x:v>
      </x:c>
      <x:c r="AF12" s="2" t="str">
        <x:f>IF(NOT(ISNUMBER(P12)),"판정불가: 틴트농도 누락",IF(AND(P12&gt;='기준표'!$D$13,P12&lt;='기준표'!$F$13),"통과","불합격: 틴트농도 "&amp;P12&amp;" (허용 "&amp;'기준표'!$D$13&amp;"~"&amp;'기준표'!$F$13&amp;")"))</x:f>
        <x:v>불합격: 틴트농도 23.1 (허용 17~23)</x:v>
      </x:c>
      <x:c r="AG12" s="2" t="str">
        <x:f>IF(IF(B12="CR-39",14,IF(B12="폴리카보네이트",15,IF(B12="하이인덱스",16,0)))=0,"판정불가: 소재 기준 없음",IF(NOT(ISNUMBER(G12)),"판정불가: 굴절률 누락",IF(AND(G12&gt;=INDEX('기준표'!$D$1:$D$16,IF(B12="CR-39",14,IF(B12="폴리카보네이트",15,IF(B12="하이인덱스",16,0)))),G12&lt;=INDEX('기준표'!$F$1:$F$16,IF(B12="CR-39",14,IF(B12="폴리카보네이트",15,IF(B12="하이인덱스",16,0))))),"통과","불합격: 굴절률 "&amp;G12&amp;" (허용 "&amp;INDEX('기준표'!$D$1:$D$16,IF(B12="CR-39",14,IF(B12="폴리카보네이트",15,IF(B12="하이인덱스",16,0))))&amp;"~"&amp;INDEX('기준표'!$F$1:$F$16,IF(B12="CR-39",14,IF(B12="폴리카보네이트",15,IF(B12="하이인덱스",16,0))))&amp;")")))</x:f>
        <x:v>통과</x:v>
      </x:c>
    </x:row>
    <x:row r="13" ht="76" customHeight="1">
      <x:c r="A13" s="2" t="str">
        <x:v>L012</x:v>
      </x:c>
      <x:c r="B13" s="10" t="str">
        <x:v>하이인덱스</x:v>
      </x:c>
      <x:c r="C13" s="10" t="str">
        <x:v>스카이비전 선글라스틴트 027</x:v>
      </x:c>
      <x:c r="D13" s="7" t="n">
        <x:v>0</x:v>
      </x:c>
      <x:c r="E13" s="7" t="n">
        <x:v>0</x:v>
      </x:c>
      <x:c r="F13" s="7" t="n">
        <x:v>1</x:v>
      </x:c>
      <x:c r="G13" s="7" t="n">
        <x:v>1.671</x:v>
      </x:c>
      <x:c r="H13" s="7" t="n">
        <x:v>91.6</x:v>
      </x:c>
      <x:c r="I13" s="7" t="n">
        <x:v>0.4</x:v>
      </x:c>
      <x:c r="J13" s="7" t="n">
        <x:v>73.26</x:v>
      </x:c>
      <x:c r="K13" s="7" t="n">
        <x:v>1.89</x:v>
      </x:c>
      <x:c r="L13" s="7" t="n">
        <x:v>1.83</x:v>
      </x:c>
      <x:c r="M13" s="7" t="n">
        <x:v>75</x:v>
      </x:c>
      <x:c r="N13" s="7" t="n">
        <x:v>99.3</x:v>
      </x:c>
      <x:c r="O13" s="7" t="n">
        <x:v>0.8</x:v>
      </x:c>
      <x:c r="P13" s="7" t="n">
        <x:v>20.1</x:v>
      </x:c>
      <x:c r="Q13" s="2" t="str">
        <x:f>IF(OR(LEFT(U13,3)="불합격",LEFT(V13,3)="불합격",LEFT(W13,3)="불합격",LEFT(X13,3)="불합격",LEFT(Y13,3)="불합격",LEFT(Z13,3)="불합격",LEFT(AA13,3)="불합격",LEFT(AB13,3)="불합격",LEFT(AC13,3)="불합격",LEFT(AD13,3)="불합격",LEFT(AE13,3)="불합격",LEFT(AF13,3)="불합격",LEFT(AG13,3)="불합격"),"불합격",IF(AND(U13="통과",V13="통과",W13="통과",X13="통과",Y13="통과",Z13="통과",AA13="통과",AB13="통과",AC13="통과",AD13="통과",AE13="통과",AF13="통과",AG13="통과"),"합격","판정불가"))</x:f>
        <x:v>합격</x:v>
      </x:c>
      <x:c r="R13" s="9" t="str">
        <x:f>IF(Q13="합격","13개 항목 모두 허용범위 이내",IF(U13="통과","",U13&amp;CHAR(10))&amp;IF(V13="통과","",V13&amp;CHAR(10))&amp;IF(W13="통과","",W13&amp;CHAR(10))&amp;IF(X13="통과","",X13&amp;CHAR(10))&amp;IF(Y13="통과","",Y13&amp;CHAR(10))&amp;IF(Z13="통과","",Z13&amp;CHAR(10))&amp;IF(AA13="통과","",AA13&amp;CHAR(10))&amp;IF(AB13="통과","",AB13&amp;CHAR(10))&amp;IF(AC13="통과","",AC13&amp;CHAR(10))&amp;IF(AD13="통과","",AD13&amp;CHAR(10))&amp;IF(AE13="통과","",AE13&amp;CHAR(10))&amp;IF(AF13="통과","",AF13&amp;CHAR(10))&amp;IF(AG13="통과","",AG13&amp;CHAR(10)))</x:f>
        <x:v>13개 항목 모두 허용범위 이내</x:v>
      </x:c>
      <x:c r="S13" s="2" t="str">
        <x:v>합격</x:v>
      </x:c>
      <x:c r="T13" s="9"/>
      <x:c r="U13" s="2" t="str">
        <x:f>IF(NOT(ISNUMBER(D13)),"판정불가: 스크래치등급 누락",IF(AND(D13&gt;='기준표'!$D$2,D13&lt;='기준표'!$F$2),"통과","불합격: 스크래치등급 "&amp;D13&amp;" (허용 "&amp;'기준표'!$D$2&amp;"~"&amp;'기준표'!$F$2&amp;")"))</x:f>
        <x:v>통과</x:v>
      </x:c>
      <x:c r="V13" s="2" t="str">
        <x:f>IF(NOT(ISNUMBER(E13)),"판정불가: 기포이물질개수 누락",IF(AND(E13&gt;='기준표'!$D$3,E13&lt;='기준표'!$F$3),"통과","불합격: 기포이물질개수 "&amp;E13&amp;" (허용 "&amp;'기준표'!$D$3&amp;"~"&amp;'기준표'!$F$3&amp;")"))</x:f>
        <x:v>통과</x:v>
      </x:c>
      <x:c r="W13" s="2" t="str">
        <x:f>IF(NOT(ISNUMBER(F13)),"판정불가: 코팅불량개수 누락",IF(AND(F13&gt;='기준표'!$D$4,F13&lt;='기준표'!$F$4),"통과","불합격: 코팅불량개수 "&amp;F13&amp;" (허용 "&amp;'기준표'!$D$4&amp;"~"&amp;'기준표'!$F$4&amp;")"))</x:f>
        <x:v>통과</x:v>
      </x:c>
      <x:c r="X13" s="2" t="str">
        <x:f>IF(NOT(ISNUMBER(H13)),"판정불가: 광투과율 누락",IF(AND(H13&gt;='기준표'!$D$5,H13&lt;='기준표'!$F$5),"통과","불합격: 광투과율 "&amp;H13&amp;" (허용 "&amp;'기준표'!$D$5&amp;"~"&amp;'기준표'!$F$5&amp;")"))</x:f>
        <x:v>통과</x:v>
      </x:c>
      <x:c r="Y13" s="2" t="str">
        <x:f>IF(NOT(ISNUMBER(I13)),"판정불가: 왜곡률 누락",IF(AND(I13&gt;='기준표'!$D$6,I13&lt;='기준표'!$F$6),"통과","불합격: 왜곡률 "&amp;I13&amp;" (허용 "&amp;'기준표'!$D$6&amp;"~"&amp;'기준표'!$F$6&amp;")"))</x:f>
        <x:v>통과</x:v>
      </x:c>
      <x:c r="Z13" s="2" t="str">
        <x:f>IF(NOT(ISNUMBER(J13)),"판정불가: 렌즈직경 누락",IF(AND(J13&gt;='기준표'!$D$7,J13&lt;='기준표'!$F$7),"통과","불합격: 렌즈직경 "&amp;J13&amp;" (허용 "&amp;'기준표'!$D$7&amp;"~"&amp;'기준표'!$F$7&amp;")"))</x:f>
        <x:v>통과</x:v>
      </x:c>
      <x:c r="AA13" s="2" t="str">
        <x:f>IF(NOT(ISNUMBER(K13)),"판정불가: 중심두께 누락",IF(AND(K13&gt;='기준표'!$D$8,K13&lt;='기준표'!$F$8),"통과","불합격: 중심두께 "&amp;K13&amp;" (허용 "&amp;'기준표'!$D$8&amp;"~"&amp;'기준표'!$F$8&amp;")"))</x:f>
        <x:v>통과</x:v>
      </x:c>
      <x:c r="AB13" s="2" t="str">
        <x:f>IF(NOT(ISNUMBER(L13)),"판정불가: 가장자리두께 누락",IF(AND(L13&gt;='기준표'!$D$9,L13&lt;='기준표'!$F$9),"통과","불합격: 가장자리두께 "&amp;L13&amp;" (허용 "&amp;'기준표'!$D$9&amp;"~"&amp;'기준표'!$F$9&amp;")"))</x:f>
        <x:v>통과</x:v>
      </x:c>
      <x:c r="AC13" s="2" t="str">
        <x:f>IF(NOT(ISNUMBER(M13)),"판정불가: 곡률반경 누락",IF(AND(M13&gt;='기준표'!$D$10,M13&lt;='기준표'!$F$10),"통과","불합격: 곡률반경 "&amp;M13&amp;" (허용 "&amp;'기준표'!$D$10&amp;"~"&amp;'기준표'!$F$10&amp;")"))</x:f>
        <x:v>통과</x:v>
      </x:c>
      <x:c r="AD13" s="2" t="str">
        <x:f>IF(NOT(ISNUMBER(N13)),"판정불가: UV차단율 누락",IF(AND(N13&gt;='기준표'!$D$11,N13&lt;='기준표'!$F$11),"통과","불합격: UV차단율 "&amp;N13&amp;" (허용 "&amp;'기준표'!$D$11&amp;"~"&amp;'기준표'!$F$11&amp;")"))</x:f>
        <x:v>통과</x:v>
      </x:c>
      <x:c r="AE13" s="2" t="str">
        <x:f>IF(NOT(ISNUMBER(O13)),"판정불가: 색상균일도 누락",IF(AND(O13&gt;='기준표'!$D$12,O13&lt;='기준표'!$F$12),"통과","불합격: 색상균일도 "&amp;O13&amp;" (허용 "&amp;'기준표'!$D$12&amp;"~"&amp;'기준표'!$F$12&amp;")"))</x:f>
        <x:v>통과</x:v>
      </x:c>
      <x:c r="AF13" s="2" t="str">
        <x:f>IF(NOT(ISNUMBER(P13)),"판정불가: 틴트농도 누락",IF(AND(P13&gt;='기준표'!$D$13,P13&lt;='기준표'!$F$13),"통과","불합격: 틴트농도 "&amp;P13&amp;" (허용 "&amp;'기준표'!$D$13&amp;"~"&amp;'기준표'!$F$13&amp;")"))</x:f>
        <x:v>통과</x:v>
      </x:c>
      <x:c r="AG13" s="2" t="str">
        <x:f>IF(IF(B13="CR-39",14,IF(B13="폴리카보네이트",15,IF(B13="하이인덱스",16,0)))=0,"판정불가: 소재 기준 없음",IF(NOT(ISNUMBER(G13)),"판정불가: 굴절률 누락",IF(AND(G13&gt;=INDEX('기준표'!$D$1:$D$16,IF(B13="CR-39",14,IF(B13="폴리카보네이트",15,IF(B13="하이인덱스",16,0)))),G13&lt;=INDEX('기준표'!$F$1:$F$16,IF(B13="CR-39",14,IF(B13="폴리카보네이트",15,IF(B13="하이인덱스",16,0))))),"통과","불합격: 굴절률 "&amp;G13&amp;" (허용 "&amp;INDEX('기준표'!$D$1:$D$16,IF(B13="CR-39",14,IF(B13="폴리카보네이트",15,IF(B13="하이인덱스",16,0))))&amp;"~"&amp;INDEX('기준표'!$F$1:$F$16,IF(B13="CR-39",14,IF(B13="폴리카보네이트",15,IF(B13="하이인덱스",16,0))))&amp;")")))</x:f>
        <x:v>통과</x:v>
      </x:c>
    </x:row>
    <x:row r="14" ht="76" customHeight="1">
      <x:c r="A14" s="2" t="str">
        <x:v>L013</x:v>
      </x:c>
      <x:c r="B14" s="10" t="str">
        <x:v>하이인덱스</x:v>
      </x:c>
      <x:c r="C14" s="10" t="str">
        <x:v>스카이비전 스탠다드 009</x:v>
      </x:c>
      <x:c r="D14" s="7" t="n">
        <x:v>1</x:v>
      </x:c>
      <x:c r="E14" s="7" t="n">
        <x:v>0</x:v>
      </x:c>
      <x:c r="F14" s="7" t="n">
        <x:v>0</x:v>
      </x:c>
      <x:c r="G14" s="7" t="n">
        <x:v>1.66</x:v>
      </x:c>
      <x:c r="H14" s="7" t="n">
        <x:v>94.8</x:v>
      </x:c>
      <x:c r="I14" s="7" t="n">
        <x:v>1.5</x:v>
      </x:c>
      <x:c r="J14" s="7" t="n">
        <x:v>69.97</x:v>
      </x:c>
      <x:c r="K14" s="7" t="n">
        <x:v>1.84</x:v>
      </x:c>
      <x:c r="L14" s="7" t="n">
        <x:v>1.88</x:v>
      </x:c>
      <x:c r="M14" s="7" t="n">
        <x:v>76.4</x:v>
      </x:c>
      <x:c r="N14" s="7" t="n">
        <x:v>99.4</x:v>
      </x:c>
      <x:c r="O14" s="7" t="n">
        <x:v>0.2</x:v>
      </x:c>
      <x:c r="P14" s="7" t="n">
        <x:v>17</x:v>
      </x:c>
      <x:c r="Q14" s="2" t="str">
        <x:f>IF(OR(LEFT(U14,3)="불합격",LEFT(V14,3)="불합격",LEFT(W14,3)="불합격",LEFT(X14,3)="불합격",LEFT(Y14,3)="불합격",LEFT(Z14,3)="불합격",LEFT(AA14,3)="불합격",LEFT(AB14,3)="불합격",LEFT(AC14,3)="불합격",LEFT(AD14,3)="불합격",LEFT(AE14,3)="불합격",LEFT(AF14,3)="불합격",LEFT(AG14,3)="불합격"),"불합격",IF(AND(U14="통과",V14="통과",W14="통과",X14="통과",Y14="통과",Z14="통과",AA14="통과",AB14="통과",AC14="통과",AD14="통과",AE14="통과",AF14="통과",AG14="통과"),"합격","판정불가"))</x:f>
        <x:v>불합격</x:v>
      </x:c>
      <x:c r="R14" s="9" t="str">
        <x:f>IF(Q14="합격","13개 항목 모두 허용범위 이내",IF(U14="통과","",U14&amp;CHAR(10))&amp;IF(V14="통과","",V14&amp;CHAR(10))&amp;IF(W14="통과","",W14&amp;CHAR(10))&amp;IF(X14="통과","",X14&amp;CHAR(10))&amp;IF(Y14="통과","",Y14&amp;CHAR(10))&amp;IF(Z14="통과","",Z14&amp;CHAR(10))&amp;IF(AA14="통과","",AA14&amp;CHAR(10))&amp;IF(AB14="통과","",AB14&amp;CHAR(10))&amp;IF(AC14="통과","",AC14&amp;CHAR(10))&amp;IF(AD14="통과","",AD14&amp;CHAR(10))&amp;IF(AE14="통과","",AE14&amp;CHAR(10))&amp;IF(AF14="통과","",AF14&amp;CHAR(10))&amp;IF(AG14="통과","",AG14&amp;CHAR(10)))</x:f>
        <x:v>불합격: 렌즈직경 69.97 (허용 70~74)
</x:v>
      </x:c>
      <x:c r="S14" s="2" t="str">
        <x:v>불량</x:v>
      </x:c>
      <x:c r="T14" s="9" t="str">
        <x:v>렌즈직경</x:v>
      </x:c>
      <x:c r="U14" s="2" t="str">
        <x:f>IF(NOT(ISNUMBER(D14)),"판정불가: 스크래치등급 누락",IF(AND(D14&gt;='기준표'!$D$2,D14&lt;='기준표'!$F$2),"통과","불합격: 스크래치등급 "&amp;D14&amp;" (허용 "&amp;'기준표'!$D$2&amp;"~"&amp;'기준표'!$F$2&amp;")"))</x:f>
        <x:v>통과</x:v>
      </x:c>
      <x:c r="V14" s="2" t="str">
        <x:f>IF(NOT(ISNUMBER(E14)),"판정불가: 기포이물질개수 누락",IF(AND(E14&gt;='기준표'!$D$3,E14&lt;='기준표'!$F$3),"통과","불합격: 기포이물질개수 "&amp;E14&amp;" (허용 "&amp;'기준표'!$D$3&amp;"~"&amp;'기준표'!$F$3&amp;")"))</x:f>
        <x:v>통과</x:v>
      </x:c>
      <x:c r="W14" s="2" t="str">
        <x:f>IF(NOT(ISNUMBER(F14)),"판정불가: 코팅불량개수 누락",IF(AND(F14&gt;='기준표'!$D$4,F14&lt;='기준표'!$F$4),"통과","불합격: 코팅불량개수 "&amp;F14&amp;" (허용 "&amp;'기준표'!$D$4&amp;"~"&amp;'기준표'!$F$4&amp;")"))</x:f>
        <x:v>통과</x:v>
      </x:c>
      <x:c r="X14" s="2" t="str">
        <x:f>IF(NOT(ISNUMBER(H14)),"판정불가: 광투과율 누락",IF(AND(H14&gt;='기준표'!$D$5,H14&lt;='기준표'!$F$5),"통과","불합격: 광투과율 "&amp;H14&amp;" (허용 "&amp;'기준표'!$D$5&amp;"~"&amp;'기준표'!$F$5&amp;")"))</x:f>
        <x:v>통과</x:v>
      </x:c>
      <x:c r="Y14" s="2" t="str">
        <x:f>IF(NOT(ISNUMBER(I14)),"판정불가: 왜곡률 누락",IF(AND(I14&gt;='기준표'!$D$6,I14&lt;='기준표'!$F$6),"통과","불합격: 왜곡률 "&amp;I14&amp;" (허용 "&amp;'기준표'!$D$6&amp;"~"&amp;'기준표'!$F$6&amp;")"))</x:f>
        <x:v>통과</x:v>
      </x:c>
      <x:c r="Z14" s="2" t="str">
        <x:f>IF(NOT(ISNUMBER(J14)),"판정불가: 렌즈직경 누락",IF(AND(J14&gt;='기준표'!$D$7,J14&lt;='기준표'!$F$7),"통과","불합격: 렌즈직경 "&amp;J14&amp;" (허용 "&amp;'기준표'!$D$7&amp;"~"&amp;'기준표'!$F$7&amp;")"))</x:f>
        <x:v>불합격: 렌즈직경 69.97 (허용 70~74)</x:v>
      </x:c>
      <x:c r="AA14" s="2" t="str">
        <x:f>IF(NOT(ISNUMBER(K14)),"판정불가: 중심두께 누락",IF(AND(K14&gt;='기준표'!$D$8,K14&lt;='기준표'!$F$8),"통과","불합격: 중심두께 "&amp;K14&amp;" (허용 "&amp;'기준표'!$D$8&amp;"~"&amp;'기준표'!$F$8&amp;")"))</x:f>
        <x:v>통과</x:v>
      </x:c>
      <x:c r="AB14" s="2" t="str">
        <x:f>IF(NOT(ISNUMBER(L14)),"판정불가: 가장자리두께 누락",IF(AND(L14&gt;='기준표'!$D$9,L14&lt;='기준표'!$F$9),"통과","불합격: 가장자리두께 "&amp;L14&amp;" (허용 "&amp;'기준표'!$D$9&amp;"~"&amp;'기준표'!$F$9&amp;")"))</x:f>
        <x:v>통과</x:v>
      </x:c>
      <x:c r="AC14" s="2" t="str">
        <x:f>IF(NOT(ISNUMBER(M14)),"판정불가: 곡률반경 누락",IF(AND(M14&gt;='기준표'!$D$10,M14&lt;='기준표'!$F$10),"통과","불합격: 곡률반경 "&amp;M14&amp;" (허용 "&amp;'기준표'!$D$10&amp;"~"&amp;'기준표'!$F$10&amp;")"))</x:f>
        <x:v>통과</x:v>
      </x:c>
      <x:c r="AD14" s="2" t="str">
        <x:f>IF(NOT(ISNUMBER(N14)),"판정불가: UV차단율 누락",IF(AND(N14&gt;='기준표'!$D$11,N14&lt;='기준표'!$F$11),"통과","불합격: UV차단율 "&amp;N14&amp;" (허용 "&amp;'기준표'!$D$11&amp;"~"&amp;'기준표'!$F$11&amp;")"))</x:f>
        <x:v>통과</x:v>
      </x:c>
      <x:c r="AE14" s="2" t="str">
        <x:f>IF(NOT(ISNUMBER(O14)),"판정불가: 색상균일도 누락",IF(AND(O14&gt;='기준표'!$D$12,O14&lt;='기준표'!$F$12),"통과","불합격: 색상균일도 "&amp;O14&amp;" (허용 "&amp;'기준표'!$D$12&amp;"~"&amp;'기준표'!$F$12&amp;")"))</x:f>
        <x:v>통과</x:v>
      </x:c>
      <x:c r="AF14" s="2" t="str">
        <x:f>IF(NOT(ISNUMBER(P14)),"판정불가: 틴트농도 누락",IF(AND(P14&gt;='기준표'!$D$13,P14&lt;='기준표'!$F$13),"통과","불합격: 틴트농도 "&amp;P14&amp;" (허용 "&amp;'기준표'!$D$13&amp;"~"&amp;'기준표'!$F$13&amp;")"))</x:f>
        <x:v>통과</x:v>
      </x:c>
      <x:c r="AG14" s="2" t="str">
        <x:f>IF(IF(B14="CR-39",14,IF(B14="폴리카보네이트",15,IF(B14="하이인덱스",16,0)))=0,"판정불가: 소재 기준 없음",IF(NOT(ISNUMBER(G14)),"판정불가: 굴절률 누락",IF(AND(G14&gt;=INDEX('기준표'!$D$1:$D$16,IF(B14="CR-39",14,IF(B14="폴리카보네이트",15,IF(B14="하이인덱스",16,0)))),G14&lt;=INDEX('기준표'!$F$1:$F$16,IF(B14="CR-39",14,IF(B14="폴리카보네이트",15,IF(B14="하이인덱스",16,0))))),"통과","불합격: 굴절률 "&amp;G14&amp;" (허용 "&amp;INDEX('기준표'!$D$1:$D$16,IF(B14="CR-39",14,IF(B14="폴리카보네이트",15,IF(B14="하이인덱스",16,0))))&amp;"~"&amp;INDEX('기준표'!$F$1:$F$16,IF(B14="CR-39",14,IF(B14="폴리카보네이트",15,IF(B14="하이인덱스",16,0))))&amp;")")))</x:f>
        <x:v>통과</x:v>
      </x:c>
    </x:row>
    <x:row r="15" ht="76" customHeight="1">
      <x:c r="A15" s="2" t="str">
        <x:v>L014</x:v>
      </x:c>
      <x:c r="B15" s="10" t="str">
        <x:v>하이인덱스</x:v>
      </x:c>
      <x:c r="C15" s="10" t="str">
        <x:v>옵티클리어 스탠다드 001</x:v>
      </x:c>
      <x:c r="D15" s="7" t="n">
        <x:v>1</x:v>
      </x:c>
      <x:c r="E15" s="7" t="n">
        <x:v>1</x:v>
      </x:c>
      <x:c r="F15" s="7" t="n">
        <x:v>1</x:v>
      </x:c>
      <x:c r="G15" s="7" t="n">
        <x:v>1.69</x:v>
      </x:c>
      <x:c r="H15" s="7" t="n">
        <x:v>87.7</x:v>
      </x:c>
      <x:c r="I15" s="7" t="n">
        <x:v>0.8</x:v>
      </x:c>
      <x:c r="J15" s="7" t="n">
        <x:v>73.04</x:v>
      </x:c>
      <x:c r="K15" s="7" t="n">
        <x:v>2.01</x:v>
      </x:c>
      <x:c r="L15" s="7" t="n">
        <x:v>1.54</x:v>
      </x:c>
      <x:c r="M15" s="7" t="n">
        <x:v>86.7</x:v>
      </x:c>
      <x:c r="N15" s="7" t="n">
        <x:v>99.1</x:v>
      </x:c>
      <x:c r="O15" s="7" t="n">
        <x:v>0.53</x:v>
      </x:c>
      <x:c r="P15" s="7" t="n">
        <x:v>19.2</x:v>
      </x:c>
      <x:c r="Q15" s="2" t="str">
        <x:f>IF(OR(LEFT(U15,3)="불합격",LEFT(V15,3)="불합격",LEFT(W15,3)="불합격",LEFT(X15,3)="불합격",LEFT(Y15,3)="불합격",LEFT(Z15,3)="불합격",LEFT(AA15,3)="불합격",LEFT(AB15,3)="불합격",LEFT(AC15,3)="불합격",LEFT(AD15,3)="불합격",LEFT(AE15,3)="불합격",LEFT(AF15,3)="불합격",LEFT(AG15,3)="불합격"),"불합격",IF(AND(U15="통과",V15="통과",W15="통과",X15="통과",Y15="통과",Z15="통과",AA15="통과",AB15="통과",AC15="통과",AD15="통과",AE15="통과",AF15="통과",AG15="통과"),"합격","판정불가"))</x:f>
        <x:v>합격</x:v>
      </x:c>
      <x:c r="R15" s="9" t="str">
        <x:f>IF(Q15="합격","13개 항목 모두 허용범위 이내",IF(U15="통과","",U15&amp;CHAR(10))&amp;IF(V15="통과","",V15&amp;CHAR(10))&amp;IF(W15="통과","",W15&amp;CHAR(10))&amp;IF(X15="통과","",X15&amp;CHAR(10))&amp;IF(Y15="통과","",Y15&amp;CHAR(10))&amp;IF(Z15="통과","",Z15&amp;CHAR(10))&amp;IF(AA15="통과","",AA15&amp;CHAR(10))&amp;IF(AB15="통과","",AB15&amp;CHAR(10))&amp;IF(AC15="통과","",AC15&amp;CHAR(10))&amp;IF(AD15="통과","",AD15&amp;CHAR(10))&amp;IF(AE15="통과","",AE15&amp;CHAR(10))&amp;IF(AF15="통과","",AF15&amp;CHAR(10))&amp;IF(AG15="통과","",AG15&amp;CHAR(10)))</x:f>
        <x:v>13개 항목 모두 허용범위 이내</x:v>
      </x:c>
      <x:c r="S15" s="2" t="str">
        <x:v>합격</x:v>
      </x:c>
      <x:c r="T15" s="9"/>
      <x:c r="U15" s="2" t="str">
        <x:f>IF(NOT(ISNUMBER(D15)),"판정불가: 스크래치등급 누락",IF(AND(D15&gt;='기준표'!$D$2,D15&lt;='기준표'!$F$2),"통과","불합격: 스크래치등급 "&amp;D15&amp;" (허용 "&amp;'기준표'!$D$2&amp;"~"&amp;'기준표'!$F$2&amp;")"))</x:f>
        <x:v>통과</x:v>
      </x:c>
      <x:c r="V15" s="2" t="str">
        <x:f>IF(NOT(ISNUMBER(E15)),"판정불가: 기포이물질개수 누락",IF(AND(E15&gt;='기준표'!$D$3,E15&lt;='기준표'!$F$3),"통과","불합격: 기포이물질개수 "&amp;E15&amp;" (허용 "&amp;'기준표'!$D$3&amp;"~"&amp;'기준표'!$F$3&amp;")"))</x:f>
        <x:v>통과</x:v>
      </x:c>
      <x:c r="W15" s="2" t="str">
        <x:f>IF(NOT(ISNUMBER(F15)),"판정불가: 코팅불량개수 누락",IF(AND(F15&gt;='기준표'!$D$4,F15&lt;='기준표'!$F$4),"통과","불합격: 코팅불량개수 "&amp;F15&amp;" (허용 "&amp;'기준표'!$D$4&amp;"~"&amp;'기준표'!$F$4&amp;")"))</x:f>
        <x:v>통과</x:v>
      </x:c>
      <x:c r="X15" s="2" t="str">
        <x:f>IF(NOT(ISNUMBER(H15)),"판정불가: 광투과율 누락",IF(AND(H15&gt;='기준표'!$D$5,H15&lt;='기준표'!$F$5),"통과","불합격: 광투과율 "&amp;H15&amp;" (허용 "&amp;'기준표'!$D$5&amp;"~"&amp;'기준표'!$F$5&amp;")"))</x:f>
        <x:v>통과</x:v>
      </x:c>
      <x:c r="Y15" s="2" t="str">
        <x:f>IF(NOT(ISNUMBER(I15)),"판정불가: 왜곡률 누락",IF(AND(I15&gt;='기준표'!$D$6,I15&lt;='기준표'!$F$6),"통과","불합격: 왜곡률 "&amp;I15&amp;" (허용 "&amp;'기준표'!$D$6&amp;"~"&amp;'기준표'!$F$6&amp;")"))</x:f>
        <x:v>통과</x:v>
      </x:c>
      <x:c r="Z15" s="2" t="str">
        <x:f>IF(NOT(ISNUMBER(J15)),"판정불가: 렌즈직경 누락",IF(AND(J15&gt;='기준표'!$D$7,J15&lt;='기준표'!$F$7),"통과","불합격: 렌즈직경 "&amp;J15&amp;" (허용 "&amp;'기준표'!$D$7&amp;"~"&amp;'기준표'!$F$7&amp;")"))</x:f>
        <x:v>통과</x:v>
      </x:c>
      <x:c r="AA15" s="2" t="str">
        <x:f>IF(NOT(ISNUMBER(K15)),"판정불가: 중심두께 누락",IF(AND(K15&gt;='기준표'!$D$8,K15&lt;='기준표'!$F$8),"통과","불합격: 중심두께 "&amp;K15&amp;" (허용 "&amp;'기준표'!$D$8&amp;"~"&amp;'기준표'!$F$8&amp;")"))</x:f>
        <x:v>통과</x:v>
      </x:c>
      <x:c r="AB15" s="2" t="str">
        <x:f>IF(NOT(ISNUMBER(L15)),"판정불가: 가장자리두께 누락",IF(AND(L15&gt;='기준표'!$D$9,L15&lt;='기준표'!$F$9),"통과","불합격: 가장자리두께 "&amp;L15&amp;" (허용 "&amp;'기준표'!$D$9&amp;"~"&amp;'기준표'!$F$9&amp;")"))</x:f>
        <x:v>통과</x:v>
      </x:c>
      <x:c r="AC15" s="2" t="str">
        <x:f>IF(NOT(ISNUMBER(M15)),"판정불가: 곡률반경 누락",IF(AND(M15&gt;='기준표'!$D$10,M15&lt;='기준표'!$F$10),"통과","불합격: 곡률반경 "&amp;M15&amp;" (허용 "&amp;'기준표'!$D$10&amp;"~"&amp;'기준표'!$F$10&amp;")"))</x:f>
        <x:v>통과</x:v>
      </x:c>
      <x:c r="AD15" s="2" t="str">
        <x:f>IF(NOT(ISNUMBER(N15)),"판정불가: UV차단율 누락",IF(AND(N15&gt;='기준표'!$D$11,N15&lt;='기준표'!$F$11),"통과","불합격: UV차단율 "&amp;N15&amp;" (허용 "&amp;'기준표'!$D$11&amp;"~"&amp;'기준표'!$F$11&amp;")"))</x:f>
        <x:v>통과</x:v>
      </x:c>
      <x:c r="AE15" s="2" t="str">
        <x:f>IF(NOT(ISNUMBER(O15)),"판정불가: 색상균일도 누락",IF(AND(O15&gt;='기준표'!$D$12,O15&lt;='기준표'!$F$12),"통과","불합격: 색상균일도 "&amp;O15&amp;" (허용 "&amp;'기준표'!$D$12&amp;"~"&amp;'기준표'!$F$12&amp;")"))</x:f>
        <x:v>통과</x:v>
      </x:c>
      <x:c r="AF15" s="2" t="str">
        <x:f>IF(NOT(ISNUMBER(P15)),"판정불가: 틴트농도 누락",IF(AND(P15&gt;='기준표'!$D$13,P15&lt;='기준표'!$F$13),"통과","불합격: 틴트농도 "&amp;P15&amp;" (허용 "&amp;'기준표'!$D$13&amp;"~"&amp;'기준표'!$F$13&amp;")"))</x:f>
        <x:v>통과</x:v>
      </x:c>
      <x:c r="AG15" s="2" t="str">
        <x:f>IF(IF(B15="CR-39",14,IF(B15="폴리카보네이트",15,IF(B15="하이인덱스",16,0)))=0,"판정불가: 소재 기준 없음",IF(NOT(ISNUMBER(G15)),"판정불가: 굴절률 누락",IF(AND(G15&gt;=INDEX('기준표'!$D$1:$D$16,IF(B15="CR-39",14,IF(B15="폴리카보네이트",15,IF(B15="하이인덱스",16,0)))),G15&lt;=INDEX('기준표'!$F$1:$F$16,IF(B15="CR-39",14,IF(B15="폴리카보네이트",15,IF(B15="하이인덱스",16,0))))),"통과","불합격: 굴절률 "&amp;G15&amp;" (허용 "&amp;INDEX('기준표'!$D$1:$D$16,IF(B15="CR-39",14,IF(B15="폴리카보네이트",15,IF(B15="하이인덱스",16,0))))&amp;"~"&amp;INDEX('기준표'!$F$1:$F$16,IF(B15="CR-39",14,IF(B15="폴리카보네이트",15,IF(B15="하이인덱스",16,0))))&amp;")")))</x:f>
        <x:v>통과</x:v>
      </x:c>
    </x:row>
    <x:row r="16" ht="76" customHeight="1">
      <x:c r="A16" s="2" t="str">
        <x:v>L015</x:v>
      </x:c>
      <x:c r="B16" s="10" t="str">
        <x:v>하이인덱스</x:v>
      </x:c>
      <x:c r="C16" s="10" t="str">
        <x:v>크리스탈렌즈 UV프로텍트 029</x:v>
      </x:c>
      <x:c r="D16" s="7" t="n">
        <x:v>0</x:v>
      </x:c>
      <x:c r="E16" s="7" t="n">
        <x:v>0</x:v>
      </x:c>
      <x:c r="F16" s="7" t="n">
        <x:v>1</x:v>
      </x:c>
      <x:c r="G16" s="7" t="n">
        <x:v>1.667</x:v>
      </x:c>
      <x:c r="H16" s="7" t="n">
        <x:v>92.2</x:v>
      </x:c>
      <x:c r="I16" s="7" t="n">
        <x:v>1</x:v>
      </x:c>
      <x:c r="J16" s="7" t="n">
        <x:v>71.25</x:v>
      </x:c>
      <x:c r="K16" s="7" t="n">
        <x:v>2.13</x:v>
      </x:c>
      <x:c r="L16" s="7" t="n">
        <x:v>1.87</x:v>
      </x:c>
      <x:c r="M16" s="7" t="n">
        <x:v>70.1</x:v>
      </x:c>
      <x:c r="N16" s="7" t="n">
        <x:v>99.1</x:v>
      </x:c>
      <x:c r="O16" s="7" t="n">
        <x:v>1.05</x:v>
      </x:c>
      <x:c r="P16" s="7" t="n">
        <x:v>16.7</x:v>
      </x:c>
      <x:c r="Q16" s="2" t="str">
        <x:f>IF(OR(LEFT(U16,3)="불합격",LEFT(V16,3)="불합격",LEFT(W16,3)="불합격",LEFT(X16,3)="불합격",LEFT(Y16,3)="불합격",LEFT(Z16,3)="불합격",LEFT(AA16,3)="불합격",LEFT(AB16,3)="불합격",LEFT(AC16,3)="불합격",LEFT(AD16,3)="불합격",LEFT(AE16,3)="불합격",LEFT(AF16,3)="불합격",LEFT(AG16,3)="불합격"),"불합격",IF(AND(U16="통과",V16="통과",W16="통과",X16="통과",Y16="통과",Z16="통과",AA16="통과",AB16="통과",AC16="통과",AD16="통과",AE16="통과",AF16="통과",AG16="통과"),"합격","판정불가"))</x:f>
        <x:v>불합격</x:v>
      </x:c>
      <x:c r="R16" s="9" t="str">
        <x:f>IF(Q16="합격","13개 항목 모두 허용범위 이내",IF(U16="통과","",U16&amp;CHAR(10))&amp;IF(V16="통과","",V16&amp;CHAR(10))&amp;IF(W16="통과","",W16&amp;CHAR(10))&amp;IF(X16="통과","",X16&amp;CHAR(10))&amp;IF(Y16="통과","",Y16&amp;CHAR(10))&amp;IF(Z16="통과","",Z16&amp;CHAR(10))&amp;IF(AA16="통과","",AA16&amp;CHAR(10))&amp;IF(AB16="통과","",AB16&amp;CHAR(10))&amp;IF(AC16="통과","",AC16&amp;CHAR(10))&amp;IF(AD16="통과","",AD16&amp;CHAR(10))&amp;IF(AE16="통과","",AE16&amp;CHAR(10))&amp;IF(AF16="통과","",AF16&amp;CHAR(10))&amp;IF(AG16="통과","",AG16&amp;CHAR(10)))</x:f>
        <x:v>불합격: 곡률반경 70.1 (허용 74~88)
불합격: 틴트농도 16.7 (허용 17~23)
</x:v>
      </x:c>
      <x:c r="S16" s="2" t="str">
        <x:v>합격</x:v>
      </x:c>
      <x:c r="T16" s="9"/>
      <x:c r="U16" s="2" t="str">
        <x:f>IF(NOT(ISNUMBER(D16)),"판정불가: 스크래치등급 누락",IF(AND(D16&gt;='기준표'!$D$2,D16&lt;='기준표'!$F$2),"통과","불합격: 스크래치등급 "&amp;D16&amp;" (허용 "&amp;'기준표'!$D$2&amp;"~"&amp;'기준표'!$F$2&amp;")"))</x:f>
        <x:v>통과</x:v>
      </x:c>
      <x:c r="V16" s="2" t="str">
        <x:f>IF(NOT(ISNUMBER(E16)),"판정불가: 기포이물질개수 누락",IF(AND(E16&gt;='기준표'!$D$3,E16&lt;='기준표'!$F$3),"통과","불합격: 기포이물질개수 "&amp;E16&amp;" (허용 "&amp;'기준표'!$D$3&amp;"~"&amp;'기준표'!$F$3&amp;")"))</x:f>
        <x:v>통과</x:v>
      </x:c>
      <x:c r="W16" s="2" t="str">
        <x:f>IF(NOT(ISNUMBER(F16)),"판정불가: 코팅불량개수 누락",IF(AND(F16&gt;='기준표'!$D$4,F16&lt;='기준표'!$F$4),"통과","불합격: 코팅불량개수 "&amp;F16&amp;" (허용 "&amp;'기준표'!$D$4&amp;"~"&amp;'기준표'!$F$4&amp;")"))</x:f>
        <x:v>통과</x:v>
      </x:c>
      <x:c r="X16" s="2" t="str">
        <x:f>IF(NOT(ISNUMBER(H16)),"판정불가: 광투과율 누락",IF(AND(H16&gt;='기준표'!$D$5,H16&lt;='기준표'!$F$5),"통과","불합격: 광투과율 "&amp;H16&amp;" (허용 "&amp;'기준표'!$D$5&amp;"~"&amp;'기준표'!$F$5&amp;")"))</x:f>
        <x:v>통과</x:v>
      </x:c>
      <x:c r="Y16" s="2" t="str">
        <x:f>IF(NOT(ISNUMBER(I16)),"판정불가: 왜곡률 누락",IF(AND(I16&gt;='기준표'!$D$6,I16&lt;='기준표'!$F$6),"통과","불합격: 왜곡률 "&amp;I16&amp;" (허용 "&amp;'기준표'!$D$6&amp;"~"&amp;'기준표'!$F$6&amp;")"))</x:f>
        <x:v>통과</x:v>
      </x:c>
      <x:c r="Z16" s="2" t="str">
        <x:f>IF(NOT(ISNUMBER(J16)),"판정불가: 렌즈직경 누락",IF(AND(J16&gt;='기준표'!$D$7,J16&lt;='기준표'!$F$7),"통과","불합격: 렌즈직경 "&amp;J16&amp;" (허용 "&amp;'기준표'!$D$7&amp;"~"&amp;'기준표'!$F$7&amp;")"))</x:f>
        <x:v>통과</x:v>
      </x:c>
      <x:c r="AA16" s="2" t="str">
        <x:f>IF(NOT(ISNUMBER(K16)),"판정불가: 중심두께 누락",IF(AND(K16&gt;='기준표'!$D$8,K16&lt;='기준표'!$F$8),"통과","불합격: 중심두께 "&amp;K16&amp;" (허용 "&amp;'기준표'!$D$8&amp;"~"&amp;'기준표'!$F$8&amp;")"))</x:f>
        <x:v>통과</x:v>
      </x:c>
      <x:c r="AB16" s="2" t="str">
        <x:f>IF(NOT(ISNUMBER(L16)),"판정불가: 가장자리두께 누락",IF(AND(L16&gt;='기준표'!$D$9,L16&lt;='기준표'!$F$9),"통과","불합격: 가장자리두께 "&amp;L16&amp;" (허용 "&amp;'기준표'!$D$9&amp;"~"&amp;'기준표'!$F$9&amp;")"))</x:f>
        <x:v>통과</x:v>
      </x:c>
      <x:c r="AC16" s="2" t="str">
        <x:f>IF(NOT(ISNUMBER(M16)),"판정불가: 곡률반경 누락",IF(AND(M16&gt;='기준표'!$D$10,M16&lt;='기준표'!$F$10),"통과","불합격: 곡률반경 "&amp;M16&amp;" (허용 "&amp;'기준표'!$D$10&amp;"~"&amp;'기준표'!$F$10&amp;")"))</x:f>
        <x:v>불합격: 곡률반경 70.1 (허용 74~88)</x:v>
      </x:c>
      <x:c r="AD16" s="2" t="str">
        <x:f>IF(NOT(ISNUMBER(N16)),"판정불가: UV차단율 누락",IF(AND(N16&gt;='기준표'!$D$11,N16&lt;='기준표'!$F$11),"통과","불합격: UV차단율 "&amp;N16&amp;" (허용 "&amp;'기준표'!$D$11&amp;"~"&amp;'기준표'!$F$11&amp;")"))</x:f>
        <x:v>통과</x:v>
      </x:c>
      <x:c r="AE16" s="2" t="str">
        <x:f>IF(NOT(ISNUMBER(O16)),"판정불가: 색상균일도 누락",IF(AND(O16&gt;='기준표'!$D$12,O16&lt;='기준표'!$F$12),"통과","불합격: 색상균일도 "&amp;O16&amp;" (허용 "&amp;'기준표'!$D$12&amp;"~"&amp;'기준표'!$F$12&amp;")"))</x:f>
        <x:v>통과</x:v>
      </x:c>
      <x:c r="AF16" s="2" t="str">
        <x:f>IF(NOT(ISNUMBER(P16)),"판정불가: 틴트농도 누락",IF(AND(P16&gt;='기준표'!$D$13,P16&lt;='기준표'!$F$13),"통과","불합격: 틴트농도 "&amp;P16&amp;" (허용 "&amp;'기준표'!$D$13&amp;"~"&amp;'기준표'!$F$13&amp;")"))</x:f>
        <x:v>불합격: 틴트농도 16.7 (허용 17~23)</x:v>
      </x:c>
      <x:c r="AG16" s="2" t="str">
        <x:f>IF(IF(B16="CR-39",14,IF(B16="폴리카보네이트",15,IF(B16="하이인덱스",16,0)))=0,"판정불가: 소재 기준 없음",IF(NOT(ISNUMBER(G16)),"판정불가: 굴절률 누락",IF(AND(G16&gt;=INDEX('기준표'!$D$1:$D$16,IF(B16="CR-39",14,IF(B16="폴리카보네이트",15,IF(B16="하이인덱스",16,0)))),G16&lt;=INDEX('기준표'!$F$1:$F$16,IF(B16="CR-39",14,IF(B16="폴리카보네이트",15,IF(B16="하이인덱스",16,0))))),"통과","불합격: 굴절률 "&amp;G16&amp;" (허용 "&amp;INDEX('기준표'!$D$1:$D$16,IF(B16="CR-39",14,IF(B16="폴리카보네이트",15,IF(B16="하이인덱스",16,0))))&amp;"~"&amp;INDEX('기준표'!$F$1:$F$16,IF(B16="CR-39",14,IF(B16="폴리카보네이트",15,IF(B16="하이인덱스",16,0))))&amp;")")))</x:f>
        <x:v>통과</x:v>
      </x:c>
    </x:row>
    <x:row r="17" ht="76" customHeight="1">
      <x:c r="A17" s="2" t="str">
        <x:v>L016</x:v>
      </x:c>
      <x:c r="B17" s="10" t="str">
        <x:v>하이인덱스</x:v>
      </x:c>
      <x:c r="C17" s="10" t="str">
        <x:v>클리어뷰 스탠다드 007</x:v>
      </x:c>
      <x:c r="D17" s="7" t="n">
        <x:v>1</x:v>
      </x:c>
      <x:c r="E17" s="7" t="n">
        <x:v>0</x:v>
      </x:c>
      <x:c r="F17" s="7" t="n">
        <x:v>0</x:v>
      </x:c>
      <x:c r="G17" s="7" t="n">
        <x:v>1.676</x:v>
      </x:c>
      <x:c r="H17" s="7" t="n">
        <x:v>88.7</x:v>
      </x:c>
      <x:c r="I17" s="7" t="n">
        <x:v>1.2</x:v>
      </x:c>
      <x:c r="J17" s="7" t="n">
        <x:v>74.95</x:v>
      </x:c>
      <x:c r="K17" s="7" t="n">
        <x:v>1.94</x:v>
      </x:c>
      <x:c r="L17" s="7" t="n">
        <x:v>1.48</x:v>
      </x:c>
      <x:c r="M17" s="7" t="n">
        <x:v>85.9</x:v>
      </x:c>
      <x:c r="N17" s="7" t="n">
        <x:v>99.7</x:v>
      </x:c>
      <x:c r="O17" s="7" t="n">
        <x:v>1.5</x:v>
      </x:c>
      <x:c r="P17" s="7" t="n">
        <x:v>21.4</x:v>
      </x:c>
      <x:c r="Q17" s="2" t="str">
        <x:f>IF(OR(LEFT(U17,3)="불합격",LEFT(V17,3)="불합격",LEFT(W17,3)="불합격",LEFT(X17,3)="불합격",LEFT(Y17,3)="불합격",LEFT(Z17,3)="불합격",LEFT(AA17,3)="불합격",LEFT(AB17,3)="불합격",LEFT(AC17,3)="불합격",LEFT(AD17,3)="불합격",LEFT(AE17,3)="불합격",LEFT(AF17,3)="불합격",LEFT(AG17,3)="불합격"),"불합격",IF(AND(U17="통과",V17="통과",W17="통과",X17="통과",Y17="통과",Z17="통과",AA17="통과",AB17="통과",AC17="통과",AD17="통과",AE17="통과",AF17="통과",AG17="통과"),"합격","판정불가"))</x:f>
        <x:v>불합격</x:v>
      </x:c>
      <x:c r="R17" s="9" t="str">
        <x:f>IF(Q17="합격","13개 항목 모두 허용범위 이내",IF(U17="통과","",U17&amp;CHAR(10))&amp;IF(V17="통과","",V17&amp;CHAR(10))&amp;IF(W17="통과","",W17&amp;CHAR(10))&amp;IF(X17="통과","",X17&amp;CHAR(10))&amp;IF(Y17="통과","",Y17&amp;CHAR(10))&amp;IF(Z17="통과","",Z17&amp;CHAR(10))&amp;IF(AA17="통과","",AA17&amp;CHAR(10))&amp;IF(AB17="통과","",AB17&amp;CHAR(10))&amp;IF(AC17="통과","",AC17&amp;CHAR(10))&amp;IF(AD17="통과","",AD17&amp;CHAR(10))&amp;IF(AE17="통과","",AE17&amp;CHAR(10))&amp;IF(AF17="통과","",AF17&amp;CHAR(10))&amp;IF(AG17="통과","",AG17&amp;CHAR(10)))</x:f>
        <x:v>불합격: 렌즈직경 74.95 (허용 70~74)
</x:v>
      </x:c>
      <x:c r="S17" s="2" t="str">
        <x:v>합격</x:v>
      </x:c>
      <x:c r="T17" s="9"/>
      <x:c r="U17" s="2" t="str">
        <x:f>IF(NOT(ISNUMBER(D17)),"판정불가: 스크래치등급 누락",IF(AND(D17&gt;='기준표'!$D$2,D17&lt;='기준표'!$F$2),"통과","불합격: 스크래치등급 "&amp;D17&amp;" (허용 "&amp;'기준표'!$D$2&amp;"~"&amp;'기준표'!$F$2&amp;")"))</x:f>
        <x:v>통과</x:v>
      </x:c>
      <x:c r="V17" s="2" t="str">
        <x:f>IF(NOT(ISNUMBER(E17)),"판정불가: 기포이물질개수 누락",IF(AND(E17&gt;='기준표'!$D$3,E17&lt;='기준표'!$F$3),"통과","불합격: 기포이물질개수 "&amp;E17&amp;" (허용 "&amp;'기준표'!$D$3&amp;"~"&amp;'기준표'!$F$3&amp;")"))</x:f>
        <x:v>통과</x:v>
      </x:c>
      <x:c r="W17" s="2" t="str">
        <x:f>IF(NOT(ISNUMBER(F17)),"판정불가: 코팅불량개수 누락",IF(AND(F17&gt;='기준표'!$D$4,F17&lt;='기준표'!$F$4),"통과","불합격: 코팅불량개수 "&amp;F17&amp;" (허용 "&amp;'기준표'!$D$4&amp;"~"&amp;'기준표'!$F$4&amp;")"))</x:f>
        <x:v>통과</x:v>
      </x:c>
      <x:c r="X17" s="2" t="str">
        <x:f>IF(NOT(ISNUMBER(H17)),"판정불가: 광투과율 누락",IF(AND(H17&gt;='기준표'!$D$5,H17&lt;='기준표'!$F$5),"통과","불합격: 광투과율 "&amp;H17&amp;" (허용 "&amp;'기준표'!$D$5&amp;"~"&amp;'기준표'!$F$5&amp;")"))</x:f>
        <x:v>통과</x:v>
      </x:c>
      <x:c r="Y17" s="2" t="str">
        <x:f>IF(NOT(ISNUMBER(I17)),"판정불가: 왜곡률 누락",IF(AND(I17&gt;='기준표'!$D$6,I17&lt;='기준표'!$F$6),"통과","불합격: 왜곡률 "&amp;I17&amp;" (허용 "&amp;'기준표'!$D$6&amp;"~"&amp;'기준표'!$F$6&amp;")"))</x:f>
        <x:v>통과</x:v>
      </x:c>
      <x:c r="Z17" s="2" t="str">
        <x:f>IF(NOT(ISNUMBER(J17)),"판정불가: 렌즈직경 누락",IF(AND(J17&gt;='기준표'!$D$7,J17&lt;='기준표'!$F$7),"통과","불합격: 렌즈직경 "&amp;J17&amp;" (허용 "&amp;'기준표'!$D$7&amp;"~"&amp;'기준표'!$F$7&amp;")"))</x:f>
        <x:v>불합격: 렌즈직경 74.95 (허용 70~74)</x:v>
      </x:c>
      <x:c r="AA17" s="2" t="str">
        <x:f>IF(NOT(ISNUMBER(K17)),"판정불가: 중심두께 누락",IF(AND(K17&gt;='기준표'!$D$8,K17&lt;='기준표'!$F$8),"통과","불합격: 중심두께 "&amp;K17&amp;" (허용 "&amp;'기준표'!$D$8&amp;"~"&amp;'기준표'!$F$8&amp;")"))</x:f>
        <x:v>통과</x:v>
      </x:c>
      <x:c r="AB17" s="2" t="str">
        <x:f>IF(NOT(ISNUMBER(L17)),"판정불가: 가장자리두께 누락",IF(AND(L17&gt;='기준표'!$D$9,L17&lt;='기준표'!$F$9),"통과","불합격: 가장자리두께 "&amp;L17&amp;" (허용 "&amp;'기준표'!$D$9&amp;"~"&amp;'기준표'!$F$9&amp;")"))</x:f>
        <x:v>통과</x:v>
      </x:c>
      <x:c r="AC17" s="2" t="str">
        <x:f>IF(NOT(ISNUMBER(M17)),"판정불가: 곡률반경 누락",IF(AND(M17&gt;='기준표'!$D$10,M17&lt;='기준표'!$F$10),"통과","불합격: 곡률반경 "&amp;M17&amp;" (허용 "&amp;'기준표'!$D$10&amp;"~"&amp;'기준표'!$F$10&amp;")"))</x:f>
        <x:v>통과</x:v>
      </x:c>
      <x:c r="AD17" s="2" t="str">
        <x:f>IF(NOT(ISNUMBER(N17)),"판정불가: UV차단율 누락",IF(AND(N17&gt;='기준표'!$D$11,N17&lt;='기준표'!$F$11),"통과","불합격: UV차단율 "&amp;N17&amp;" (허용 "&amp;'기준표'!$D$11&amp;"~"&amp;'기준표'!$F$11&amp;")"))</x:f>
        <x:v>통과</x:v>
      </x:c>
      <x:c r="AE17" s="2" t="str">
        <x:f>IF(NOT(ISNUMBER(O17)),"판정불가: 색상균일도 누락",IF(AND(O17&gt;='기준표'!$D$12,O17&lt;='기준표'!$F$12),"통과","불합격: 색상균일도 "&amp;O17&amp;" (허용 "&amp;'기준표'!$D$12&amp;"~"&amp;'기준표'!$F$12&amp;")"))</x:f>
        <x:v>통과</x:v>
      </x:c>
      <x:c r="AF17" s="2" t="str">
        <x:f>IF(NOT(ISNUMBER(P17)),"판정불가: 틴트농도 누락",IF(AND(P17&gt;='기준표'!$D$13,P17&lt;='기준표'!$F$13),"통과","불합격: 틴트농도 "&amp;P17&amp;" (허용 "&amp;'기준표'!$D$13&amp;"~"&amp;'기준표'!$F$13&amp;")"))</x:f>
        <x:v>통과</x:v>
      </x:c>
      <x:c r="AG17" s="2" t="str">
        <x:f>IF(IF(B17="CR-39",14,IF(B17="폴리카보네이트",15,IF(B17="하이인덱스",16,0)))=0,"판정불가: 소재 기준 없음",IF(NOT(ISNUMBER(G17)),"판정불가: 굴절률 누락",IF(AND(G17&gt;=INDEX('기준표'!$D$1:$D$16,IF(B17="CR-39",14,IF(B17="폴리카보네이트",15,IF(B17="하이인덱스",16,0)))),G17&lt;=INDEX('기준표'!$F$1:$F$16,IF(B17="CR-39",14,IF(B17="폴리카보네이트",15,IF(B17="하이인덱스",16,0))))),"통과","불합격: 굴절률 "&amp;G17&amp;" (허용 "&amp;INDEX('기준표'!$D$1:$D$16,IF(B17="CR-39",14,IF(B17="폴리카보네이트",15,IF(B17="하이인덱스",16,0))))&amp;"~"&amp;INDEX('기준표'!$F$1:$F$16,IF(B17="CR-39",14,IF(B17="폴리카보네이트",15,IF(B17="하이인덱스",16,0))))&amp;")")))</x:f>
        <x:v>통과</x:v>
      </x:c>
    </x:row>
    <x:row r="18" ht="76" customHeight="1">
      <x:c r="A18" s="2" t="str">
        <x:v>L017</x:v>
      </x:c>
      <x:c r="B18" s="10" t="str">
        <x:v>하이인덱스</x:v>
      </x:c>
      <x:c r="C18" s="10" t="str">
        <x:v>클리어뷰 스탠다드 013</x:v>
      </x:c>
      <x:c r="D18" s="7" t="n">
        <x:v>1</x:v>
      </x:c>
      <x:c r="E18" s="7" t="n">
        <x:v>0</x:v>
      </x:c>
      <x:c r="F18" s="7" t="n">
        <x:v>0</x:v>
      </x:c>
      <x:c r="G18" s="7" t="n">
        <x:v>1.681</x:v>
      </x:c>
      <x:c r="H18" s="7" t="n">
        <x:v>91.4</x:v>
      </x:c>
      <x:c r="I18" s="7" t="n">
        <x:v>1.1</x:v>
      </x:c>
      <x:c r="J18" s="7" t="n">
        <x:v>69.87</x:v>
      </x:c>
      <x:c r="K18" s="7" t="n">
        <x:v>2.2</x:v>
      </x:c>
      <x:c r="L18" s="7" t="n">
        <x:v>1.46</x:v>
      </x:c>
      <x:c r="M18" s="7" t="n">
        <x:v>88.7</x:v>
      </x:c>
      <x:c r="N18" s="7" t="n">
        <x:v>99.2</x:v>
      </x:c>
      <x:c r="O18" s="7" t="n">
        <x:v>0.86</x:v>
      </x:c>
      <x:c r="P18" s="7" t="n">
        <x:v>27.9</x:v>
      </x:c>
      <x:c r="Q18" s="2" t="str">
        <x:f>IF(OR(LEFT(U18,3)="불합격",LEFT(V18,3)="불합격",LEFT(W18,3)="불합격",LEFT(X18,3)="불합격",LEFT(Y18,3)="불합격",LEFT(Z18,3)="불합격",LEFT(AA18,3)="불합격",LEFT(AB18,3)="불합격",LEFT(AC18,3)="불합격",LEFT(AD18,3)="불합격",LEFT(AE18,3)="불합격",LEFT(AF18,3)="불합격",LEFT(AG18,3)="불합격"),"불합격",IF(AND(U18="통과",V18="통과",W18="통과",X18="통과",Y18="통과",Z18="통과",AA18="통과",AB18="통과",AC18="통과",AD18="통과",AE18="통과",AF18="통과",AG18="통과"),"합격","판정불가"))</x:f>
        <x:v>불합격</x:v>
      </x:c>
      <x:c r="R18" s="9" t="str">
        <x:f>IF(Q18="합격","13개 항목 모두 허용범위 이내",IF(U18="통과","",U18&amp;CHAR(10))&amp;IF(V18="통과","",V18&amp;CHAR(10))&amp;IF(W18="통과","",W18&amp;CHAR(10))&amp;IF(X18="통과","",X18&amp;CHAR(10))&amp;IF(Y18="통과","",Y18&amp;CHAR(10))&amp;IF(Z18="통과","",Z18&amp;CHAR(10))&amp;IF(AA18="통과","",AA18&amp;CHAR(10))&amp;IF(AB18="통과","",AB18&amp;CHAR(10))&amp;IF(AC18="통과","",AC18&amp;CHAR(10))&amp;IF(AD18="통과","",AD18&amp;CHAR(10))&amp;IF(AE18="통과","",AE18&amp;CHAR(10))&amp;IF(AF18="통과","",AF18&amp;CHAR(10))&amp;IF(AG18="통과","",AG18&amp;CHAR(10)))</x:f>
        <x:v>불합격: 렌즈직경 69.87 (허용 70~74)
불합격: 곡률반경 88.7 (허용 74~88)
불합격: 틴트농도 27.9 (허용 17~23)
</x:v>
      </x:c>
      <x:c r="S18" s="2" t="str">
        <x:v>불량</x:v>
      </x:c>
      <x:c r="T18" s="9" t="str">
        <x:v>렌즈직경, 틴트농도</x:v>
      </x:c>
      <x:c r="U18" s="2" t="str">
        <x:f>IF(NOT(ISNUMBER(D18)),"판정불가: 스크래치등급 누락",IF(AND(D18&gt;='기준표'!$D$2,D18&lt;='기준표'!$F$2),"통과","불합격: 스크래치등급 "&amp;D18&amp;" (허용 "&amp;'기준표'!$D$2&amp;"~"&amp;'기준표'!$F$2&amp;")"))</x:f>
        <x:v>통과</x:v>
      </x:c>
      <x:c r="V18" s="2" t="str">
        <x:f>IF(NOT(ISNUMBER(E18)),"판정불가: 기포이물질개수 누락",IF(AND(E18&gt;='기준표'!$D$3,E18&lt;='기준표'!$F$3),"통과","불합격: 기포이물질개수 "&amp;E18&amp;" (허용 "&amp;'기준표'!$D$3&amp;"~"&amp;'기준표'!$F$3&amp;")"))</x:f>
        <x:v>통과</x:v>
      </x:c>
      <x:c r="W18" s="2" t="str">
        <x:f>IF(NOT(ISNUMBER(F18)),"판정불가: 코팅불량개수 누락",IF(AND(F18&gt;='기준표'!$D$4,F18&lt;='기준표'!$F$4),"통과","불합격: 코팅불량개수 "&amp;F18&amp;" (허용 "&amp;'기준표'!$D$4&amp;"~"&amp;'기준표'!$F$4&amp;")"))</x:f>
        <x:v>통과</x:v>
      </x:c>
      <x:c r="X18" s="2" t="str">
        <x:f>IF(NOT(ISNUMBER(H18)),"판정불가: 광투과율 누락",IF(AND(H18&gt;='기준표'!$D$5,H18&lt;='기준표'!$F$5),"통과","불합격: 광투과율 "&amp;H18&amp;" (허용 "&amp;'기준표'!$D$5&amp;"~"&amp;'기준표'!$F$5&amp;")"))</x:f>
        <x:v>통과</x:v>
      </x:c>
      <x:c r="Y18" s="2" t="str">
        <x:f>IF(NOT(ISNUMBER(I18)),"판정불가: 왜곡률 누락",IF(AND(I18&gt;='기준표'!$D$6,I18&lt;='기준표'!$F$6),"통과","불합격: 왜곡률 "&amp;I18&amp;" (허용 "&amp;'기준표'!$D$6&amp;"~"&amp;'기준표'!$F$6&amp;")"))</x:f>
        <x:v>통과</x:v>
      </x:c>
      <x:c r="Z18" s="2" t="str">
        <x:f>IF(NOT(ISNUMBER(J18)),"판정불가: 렌즈직경 누락",IF(AND(J18&gt;='기준표'!$D$7,J18&lt;='기준표'!$F$7),"통과","불합격: 렌즈직경 "&amp;J18&amp;" (허용 "&amp;'기준표'!$D$7&amp;"~"&amp;'기준표'!$F$7&amp;")"))</x:f>
        <x:v>불합격: 렌즈직경 69.87 (허용 70~74)</x:v>
      </x:c>
      <x:c r="AA18" s="2" t="str">
        <x:f>IF(NOT(ISNUMBER(K18)),"판정불가: 중심두께 누락",IF(AND(K18&gt;='기준표'!$D$8,K18&lt;='기준표'!$F$8),"통과","불합격: 중심두께 "&amp;K18&amp;" (허용 "&amp;'기준표'!$D$8&amp;"~"&amp;'기준표'!$F$8&amp;")"))</x:f>
        <x:v>통과</x:v>
      </x:c>
      <x:c r="AB18" s="2" t="str">
        <x:f>IF(NOT(ISNUMBER(L18)),"판정불가: 가장자리두께 누락",IF(AND(L18&gt;='기준표'!$D$9,L18&lt;='기준표'!$F$9),"통과","불합격: 가장자리두께 "&amp;L18&amp;" (허용 "&amp;'기준표'!$D$9&amp;"~"&amp;'기준표'!$F$9&amp;")"))</x:f>
        <x:v>통과</x:v>
      </x:c>
      <x:c r="AC18" s="2" t="str">
        <x:f>IF(NOT(ISNUMBER(M18)),"판정불가: 곡률반경 누락",IF(AND(M18&gt;='기준표'!$D$10,M18&lt;='기준표'!$F$10),"통과","불합격: 곡률반경 "&amp;M18&amp;" (허용 "&amp;'기준표'!$D$10&amp;"~"&amp;'기준표'!$F$10&amp;")"))</x:f>
        <x:v>불합격: 곡률반경 88.7 (허용 74~88)</x:v>
      </x:c>
      <x:c r="AD18" s="2" t="str">
        <x:f>IF(NOT(ISNUMBER(N18)),"판정불가: UV차단율 누락",IF(AND(N18&gt;='기준표'!$D$11,N18&lt;='기준표'!$F$11),"통과","불합격: UV차단율 "&amp;N18&amp;" (허용 "&amp;'기준표'!$D$11&amp;"~"&amp;'기준표'!$F$11&amp;")"))</x:f>
        <x:v>통과</x:v>
      </x:c>
      <x:c r="AE18" s="2" t="str">
        <x:f>IF(NOT(ISNUMBER(O18)),"판정불가: 색상균일도 누락",IF(AND(O18&gt;='기준표'!$D$12,O18&lt;='기준표'!$F$12),"통과","불합격: 색상균일도 "&amp;O18&amp;" (허용 "&amp;'기준표'!$D$12&amp;"~"&amp;'기준표'!$F$12&amp;")"))</x:f>
        <x:v>통과</x:v>
      </x:c>
      <x:c r="AF18" s="2" t="str">
        <x:f>IF(NOT(ISNUMBER(P18)),"판정불가: 틴트농도 누락",IF(AND(P18&gt;='기준표'!$D$13,P18&lt;='기준표'!$F$13),"통과","불합격: 틴트농도 "&amp;P18&amp;" (허용 "&amp;'기준표'!$D$13&amp;"~"&amp;'기준표'!$F$13&amp;")"))</x:f>
        <x:v>불합격: 틴트농도 27.9 (허용 17~23)</x:v>
      </x:c>
      <x:c r="AG18" s="2" t="str">
        <x:f>IF(IF(B18="CR-39",14,IF(B18="폴리카보네이트",15,IF(B18="하이인덱스",16,0)))=0,"판정불가: 소재 기준 없음",IF(NOT(ISNUMBER(G18)),"판정불가: 굴절률 누락",IF(AND(G18&gt;=INDEX('기준표'!$D$1:$D$16,IF(B18="CR-39",14,IF(B18="폴리카보네이트",15,IF(B18="하이인덱스",16,0)))),G18&lt;=INDEX('기준표'!$F$1:$F$16,IF(B18="CR-39",14,IF(B18="폴리카보네이트",15,IF(B18="하이인덱스",16,0))))),"통과","불합격: 굴절률 "&amp;G18&amp;" (허용 "&amp;INDEX('기준표'!$D$1:$D$16,IF(B18="CR-39",14,IF(B18="폴리카보네이트",15,IF(B18="하이인덱스",16,0))))&amp;"~"&amp;INDEX('기준표'!$F$1:$F$16,IF(B18="CR-39",14,IF(B18="폴리카보네이트",15,IF(B18="하이인덱스",16,0))))&amp;")")))</x:f>
        <x:v>통과</x:v>
      </x:c>
    </x:row>
    <x:row r="19" ht="76" customHeight="1">
      <x:c r="A19" s="2" t="str">
        <x:v>L018</x:v>
      </x:c>
      <x:c r="B19" s="10" t="str">
        <x:v>하이인덱스</x:v>
      </x:c>
      <x:c r="C19" s="10" t="str">
        <x:v>클리어뷰 스탠다드 022</x:v>
      </x:c>
      <x:c r="D19" s="7" t="n">
        <x:v>1</x:v>
      </x:c>
      <x:c r="E19" s="7" t="n">
        <x:v>1</x:v>
      </x:c>
      <x:c r="F19" s="7" t="n">
        <x:v>1</x:v>
      </x:c>
      <x:c r="G19" s="7" t="n">
        <x:v>1.68</x:v>
      </x:c>
      <x:c r="H19" s="7" t="n">
        <x:v>89.7</x:v>
      </x:c>
      <x:c r="I19" s="7" t="n">
        <x:v>0.7</x:v>
      </x:c>
      <x:c r="J19" s="7" t="n">
        <x:v>72.8</x:v>
      </x:c>
      <x:c r="K19" s="7" t="n">
        <x:v>1.9</x:v>
      </x:c>
      <x:c r="L19" s="7" t="n">
        <x:v>1.62</x:v>
      </x:c>
      <x:c r="M19" s="7" t="n">
        <x:v>79.8</x:v>
      </x:c>
      <x:c r="N19" s="7" t="n">
        <x:v>99.6</x:v>
      </x:c>
      <x:c r="O19" s="7" t="n">
        <x:v>0.61</x:v>
      </x:c>
      <x:c r="P19" s="7" t="n">
        <x:v>22.6</x:v>
      </x:c>
      <x:c r="Q19" s="2" t="str">
        <x:f>IF(OR(LEFT(U19,3)="불합격",LEFT(V19,3)="불합격",LEFT(W19,3)="불합격",LEFT(X19,3)="불합격",LEFT(Y19,3)="불합격",LEFT(Z19,3)="불합격",LEFT(AA19,3)="불합격",LEFT(AB19,3)="불합격",LEFT(AC19,3)="불합격",LEFT(AD19,3)="불합격",LEFT(AE19,3)="불합격",LEFT(AF19,3)="불합격",LEFT(AG19,3)="불합격"),"불합격",IF(AND(U19="통과",V19="통과",W19="통과",X19="통과",Y19="통과",Z19="통과",AA19="통과",AB19="통과",AC19="통과",AD19="통과",AE19="통과",AF19="통과",AG19="통과"),"합격","판정불가"))</x:f>
        <x:v>합격</x:v>
      </x:c>
      <x:c r="R19" s="9" t="str">
        <x:f>IF(Q19="합격","13개 항목 모두 허용범위 이내",IF(U19="통과","",U19&amp;CHAR(10))&amp;IF(V19="통과","",V19&amp;CHAR(10))&amp;IF(W19="통과","",W19&amp;CHAR(10))&amp;IF(X19="통과","",X19&amp;CHAR(10))&amp;IF(Y19="통과","",Y19&amp;CHAR(10))&amp;IF(Z19="통과","",Z19&amp;CHAR(10))&amp;IF(AA19="통과","",AA19&amp;CHAR(10))&amp;IF(AB19="통과","",AB19&amp;CHAR(10))&amp;IF(AC19="통과","",AC19&amp;CHAR(10))&amp;IF(AD19="통과","",AD19&amp;CHAR(10))&amp;IF(AE19="통과","",AE19&amp;CHAR(10))&amp;IF(AF19="통과","",AF19&amp;CHAR(10))&amp;IF(AG19="통과","",AG19&amp;CHAR(10)))</x:f>
        <x:v>13개 항목 모두 허용범위 이내</x:v>
      </x:c>
      <x:c r="S19" s="2" t="str">
        <x:v>합격</x:v>
      </x:c>
      <x:c r="T19" s="9"/>
      <x:c r="U19" s="2" t="str">
        <x:f>IF(NOT(ISNUMBER(D19)),"판정불가: 스크래치등급 누락",IF(AND(D19&gt;='기준표'!$D$2,D19&lt;='기준표'!$F$2),"통과","불합격: 스크래치등급 "&amp;D19&amp;" (허용 "&amp;'기준표'!$D$2&amp;"~"&amp;'기준표'!$F$2&amp;")"))</x:f>
        <x:v>통과</x:v>
      </x:c>
      <x:c r="V19" s="2" t="str">
        <x:f>IF(NOT(ISNUMBER(E19)),"판정불가: 기포이물질개수 누락",IF(AND(E19&gt;='기준표'!$D$3,E19&lt;='기준표'!$F$3),"통과","불합격: 기포이물질개수 "&amp;E19&amp;" (허용 "&amp;'기준표'!$D$3&amp;"~"&amp;'기준표'!$F$3&amp;")"))</x:f>
        <x:v>통과</x:v>
      </x:c>
      <x:c r="W19" s="2" t="str">
        <x:f>IF(NOT(ISNUMBER(F19)),"판정불가: 코팅불량개수 누락",IF(AND(F19&gt;='기준표'!$D$4,F19&lt;='기준표'!$F$4),"통과","불합격: 코팅불량개수 "&amp;F19&amp;" (허용 "&amp;'기준표'!$D$4&amp;"~"&amp;'기준표'!$F$4&amp;")"))</x:f>
        <x:v>통과</x:v>
      </x:c>
      <x:c r="X19" s="2" t="str">
        <x:f>IF(NOT(ISNUMBER(H19)),"판정불가: 광투과율 누락",IF(AND(H19&gt;='기준표'!$D$5,H19&lt;='기준표'!$F$5),"통과","불합격: 광투과율 "&amp;H19&amp;" (허용 "&amp;'기준표'!$D$5&amp;"~"&amp;'기준표'!$F$5&amp;")"))</x:f>
        <x:v>통과</x:v>
      </x:c>
      <x:c r="Y19" s="2" t="str">
        <x:f>IF(NOT(ISNUMBER(I19)),"판정불가: 왜곡률 누락",IF(AND(I19&gt;='기준표'!$D$6,I19&lt;='기준표'!$F$6),"통과","불합격: 왜곡률 "&amp;I19&amp;" (허용 "&amp;'기준표'!$D$6&amp;"~"&amp;'기준표'!$F$6&amp;")"))</x:f>
        <x:v>통과</x:v>
      </x:c>
      <x:c r="Z19" s="2" t="str">
        <x:f>IF(NOT(ISNUMBER(J19)),"판정불가: 렌즈직경 누락",IF(AND(J19&gt;='기준표'!$D$7,J19&lt;='기준표'!$F$7),"통과","불합격: 렌즈직경 "&amp;J19&amp;" (허용 "&amp;'기준표'!$D$7&amp;"~"&amp;'기준표'!$F$7&amp;")"))</x:f>
        <x:v>통과</x:v>
      </x:c>
      <x:c r="AA19" s="2" t="str">
        <x:f>IF(NOT(ISNUMBER(K19)),"판정불가: 중심두께 누락",IF(AND(K19&gt;='기준표'!$D$8,K19&lt;='기준표'!$F$8),"통과","불합격: 중심두께 "&amp;K19&amp;" (허용 "&amp;'기준표'!$D$8&amp;"~"&amp;'기준표'!$F$8&amp;")"))</x:f>
        <x:v>통과</x:v>
      </x:c>
      <x:c r="AB19" s="2" t="str">
        <x:f>IF(NOT(ISNUMBER(L19)),"판정불가: 가장자리두께 누락",IF(AND(L19&gt;='기준표'!$D$9,L19&lt;='기준표'!$F$9),"통과","불합격: 가장자리두께 "&amp;L19&amp;" (허용 "&amp;'기준표'!$D$9&amp;"~"&amp;'기준표'!$F$9&amp;")"))</x:f>
        <x:v>통과</x:v>
      </x:c>
      <x:c r="AC19" s="2" t="str">
        <x:f>IF(NOT(ISNUMBER(M19)),"판정불가: 곡률반경 누락",IF(AND(M19&gt;='기준표'!$D$10,M19&lt;='기준표'!$F$10),"통과","불합격: 곡률반경 "&amp;M19&amp;" (허용 "&amp;'기준표'!$D$10&amp;"~"&amp;'기준표'!$F$10&amp;")"))</x:f>
        <x:v>통과</x:v>
      </x:c>
      <x:c r="AD19" s="2" t="str">
        <x:f>IF(NOT(ISNUMBER(N19)),"판정불가: UV차단율 누락",IF(AND(N19&gt;='기준표'!$D$11,N19&lt;='기준표'!$F$11),"통과","불합격: UV차단율 "&amp;N19&amp;" (허용 "&amp;'기준표'!$D$11&amp;"~"&amp;'기준표'!$F$11&amp;")"))</x:f>
        <x:v>통과</x:v>
      </x:c>
      <x:c r="AE19" s="2" t="str">
        <x:f>IF(NOT(ISNUMBER(O19)),"판정불가: 색상균일도 누락",IF(AND(O19&gt;='기준표'!$D$12,O19&lt;='기준표'!$F$12),"통과","불합격: 색상균일도 "&amp;O19&amp;" (허용 "&amp;'기준표'!$D$12&amp;"~"&amp;'기준표'!$F$12&amp;")"))</x:f>
        <x:v>통과</x:v>
      </x:c>
      <x:c r="AF19" s="2" t="str">
        <x:f>IF(NOT(ISNUMBER(P19)),"판정불가: 틴트농도 누락",IF(AND(P19&gt;='기준표'!$D$13,P19&lt;='기준표'!$F$13),"통과","불합격: 틴트농도 "&amp;P19&amp;" (허용 "&amp;'기준표'!$D$13&amp;"~"&amp;'기준표'!$F$13&amp;")"))</x:f>
        <x:v>통과</x:v>
      </x:c>
      <x:c r="AG19" s="2" t="str">
        <x:f>IF(IF(B19="CR-39",14,IF(B19="폴리카보네이트",15,IF(B19="하이인덱스",16,0)))=0,"판정불가: 소재 기준 없음",IF(NOT(ISNUMBER(G19)),"판정불가: 굴절률 누락",IF(AND(G19&gt;=INDEX('기준표'!$D$1:$D$16,IF(B19="CR-39",14,IF(B19="폴리카보네이트",15,IF(B19="하이인덱스",16,0)))),G19&lt;=INDEX('기준표'!$F$1:$F$16,IF(B19="CR-39",14,IF(B19="폴리카보네이트",15,IF(B19="하이인덱스",16,0))))),"통과","불합격: 굴절률 "&amp;G19&amp;" (허용 "&amp;INDEX('기준표'!$D$1:$D$16,IF(B19="CR-39",14,IF(B19="폴리카보네이트",15,IF(B19="하이인덱스",16,0))))&amp;"~"&amp;INDEX('기준표'!$F$1:$F$16,IF(B19="CR-39",14,IF(B19="폴리카보네이트",15,IF(B19="하이인덱스",16,0))))&amp;")")))</x:f>
        <x:v>통과</x:v>
      </x:c>
    </x:row>
    <x:row r="20" ht="76" customHeight="1">
      <x:c r="A20" s="2" t="str">
        <x:v>L019</x:v>
      </x:c>
      <x:c r="B20" s="10" t="str">
        <x:v>하이인덱스</x:v>
      </x:c>
      <x:c r="C20" s="10" t="str">
        <x:v>클리어뷰 프리미엄 005</x:v>
      </x:c>
      <x:c r="D20" s="7" t="n">
        <x:v>1</x:v>
      </x:c>
      <x:c r="E20" s="7" t="n">
        <x:v>0</x:v>
      </x:c>
      <x:c r="F20" s="7" t="n">
        <x:v>1</x:v>
      </x:c>
      <x:c r="G20" s="7" t="n">
        <x:v>1.689</x:v>
      </x:c>
      <x:c r="H20" s="7" t="n">
        <x:v>87.1</x:v>
      </x:c>
      <x:c r="I20" s="7" t="n">
        <x:v>0.7</x:v>
      </x:c>
      <x:c r="J20" s="7" t="n">
        <x:v>72.84</x:v>
      </x:c>
      <x:c r="K20" s="7" t="n">
        <x:v>2.11</x:v>
      </x:c>
      <x:c r="L20" s="7" t="n">
        <x:v>1.77</x:v>
      </x:c>
      <x:c r="M20" s="7" t="n">
        <x:v>75.2</x:v>
      </x:c>
      <x:c r="N20" s="7" t="n">
        <x:v>99.6</x:v>
      </x:c>
      <x:c r="O20" s="7" t="n">
        <x:v>0.91</x:v>
      </x:c>
      <x:c r="P20" s="7" t="n">
        <x:v>19.9</x:v>
      </x:c>
      <x:c r="Q20" s="2" t="str">
        <x:f>IF(OR(LEFT(U20,3)="불합격",LEFT(V20,3)="불합격",LEFT(W20,3)="불합격",LEFT(X20,3)="불합격",LEFT(Y20,3)="불합격",LEFT(Z20,3)="불합격",LEFT(AA20,3)="불합격",LEFT(AB20,3)="불합격",LEFT(AC20,3)="불합격",LEFT(AD20,3)="불합격",LEFT(AE20,3)="불합격",LEFT(AF20,3)="불합격",LEFT(AG20,3)="불합격"),"불합격",IF(AND(U20="통과",V20="통과",W20="통과",X20="통과",Y20="통과",Z20="통과",AA20="통과",AB20="통과",AC20="통과",AD20="통과",AE20="통과",AF20="통과",AG20="통과"),"합격","판정불가"))</x:f>
        <x:v>합격</x:v>
      </x:c>
      <x:c r="R20" s="9" t="str">
        <x:f>IF(Q20="합격","13개 항목 모두 허용범위 이내",IF(U20="통과","",U20&amp;CHAR(10))&amp;IF(V20="통과","",V20&amp;CHAR(10))&amp;IF(W20="통과","",W20&amp;CHAR(10))&amp;IF(X20="통과","",X20&amp;CHAR(10))&amp;IF(Y20="통과","",Y20&amp;CHAR(10))&amp;IF(Z20="통과","",Z20&amp;CHAR(10))&amp;IF(AA20="통과","",AA20&amp;CHAR(10))&amp;IF(AB20="통과","",AB20&amp;CHAR(10))&amp;IF(AC20="통과","",AC20&amp;CHAR(10))&amp;IF(AD20="통과","",AD20&amp;CHAR(10))&amp;IF(AE20="통과","",AE20&amp;CHAR(10))&amp;IF(AF20="통과","",AF20&amp;CHAR(10))&amp;IF(AG20="통과","",AG20&amp;CHAR(10)))</x:f>
        <x:v>13개 항목 모두 허용범위 이내</x:v>
      </x:c>
      <x:c r="S20" s="2" t="str">
        <x:v>합격</x:v>
      </x:c>
      <x:c r="T20" s="9"/>
      <x:c r="U20" s="2" t="str">
        <x:f>IF(NOT(ISNUMBER(D20)),"판정불가: 스크래치등급 누락",IF(AND(D20&gt;='기준표'!$D$2,D20&lt;='기준표'!$F$2),"통과","불합격: 스크래치등급 "&amp;D20&amp;" (허용 "&amp;'기준표'!$D$2&amp;"~"&amp;'기준표'!$F$2&amp;")"))</x:f>
        <x:v>통과</x:v>
      </x:c>
      <x:c r="V20" s="2" t="str">
        <x:f>IF(NOT(ISNUMBER(E20)),"판정불가: 기포이물질개수 누락",IF(AND(E20&gt;='기준표'!$D$3,E20&lt;='기준표'!$F$3),"통과","불합격: 기포이물질개수 "&amp;E20&amp;" (허용 "&amp;'기준표'!$D$3&amp;"~"&amp;'기준표'!$F$3&amp;")"))</x:f>
        <x:v>통과</x:v>
      </x:c>
      <x:c r="W20" s="2" t="str">
        <x:f>IF(NOT(ISNUMBER(F20)),"판정불가: 코팅불량개수 누락",IF(AND(F20&gt;='기준표'!$D$4,F20&lt;='기준표'!$F$4),"통과","불합격: 코팅불량개수 "&amp;F20&amp;" (허용 "&amp;'기준표'!$D$4&amp;"~"&amp;'기준표'!$F$4&amp;")"))</x:f>
        <x:v>통과</x:v>
      </x:c>
      <x:c r="X20" s="2" t="str">
        <x:f>IF(NOT(ISNUMBER(H20)),"판정불가: 광투과율 누락",IF(AND(H20&gt;='기준표'!$D$5,H20&lt;='기준표'!$F$5),"통과","불합격: 광투과율 "&amp;H20&amp;" (허용 "&amp;'기준표'!$D$5&amp;"~"&amp;'기준표'!$F$5&amp;")"))</x:f>
        <x:v>통과</x:v>
      </x:c>
      <x:c r="Y20" s="2" t="str">
        <x:f>IF(NOT(ISNUMBER(I20)),"판정불가: 왜곡률 누락",IF(AND(I20&gt;='기준표'!$D$6,I20&lt;='기준표'!$F$6),"통과","불합격: 왜곡률 "&amp;I20&amp;" (허용 "&amp;'기준표'!$D$6&amp;"~"&amp;'기준표'!$F$6&amp;")"))</x:f>
        <x:v>통과</x:v>
      </x:c>
      <x:c r="Z20" s="2" t="str">
        <x:f>IF(NOT(ISNUMBER(J20)),"판정불가: 렌즈직경 누락",IF(AND(J20&gt;='기준표'!$D$7,J20&lt;='기준표'!$F$7),"통과","불합격: 렌즈직경 "&amp;J20&amp;" (허용 "&amp;'기준표'!$D$7&amp;"~"&amp;'기준표'!$F$7&amp;")"))</x:f>
        <x:v>통과</x:v>
      </x:c>
      <x:c r="AA20" s="2" t="str">
        <x:f>IF(NOT(ISNUMBER(K20)),"판정불가: 중심두께 누락",IF(AND(K20&gt;='기준표'!$D$8,K20&lt;='기준표'!$F$8),"통과","불합격: 중심두께 "&amp;K20&amp;" (허용 "&amp;'기준표'!$D$8&amp;"~"&amp;'기준표'!$F$8&amp;")"))</x:f>
        <x:v>통과</x:v>
      </x:c>
      <x:c r="AB20" s="2" t="str">
        <x:f>IF(NOT(ISNUMBER(L20)),"판정불가: 가장자리두께 누락",IF(AND(L20&gt;='기준표'!$D$9,L20&lt;='기준표'!$F$9),"통과","불합격: 가장자리두께 "&amp;L20&amp;" (허용 "&amp;'기준표'!$D$9&amp;"~"&amp;'기준표'!$F$9&amp;")"))</x:f>
        <x:v>통과</x:v>
      </x:c>
      <x:c r="AC20" s="2" t="str">
        <x:f>IF(NOT(ISNUMBER(M20)),"판정불가: 곡률반경 누락",IF(AND(M20&gt;='기준표'!$D$10,M20&lt;='기준표'!$F$10),"통과","불합격: 곡률반경 "&amp;M20&amp;" (허용 "&amp;'기준표'!$D$10&amp;"~"&amp;'기준표'!$F$10&amp;")"))</x:f>
        <x:v>통과</x:v>
      </x:c>
      <x:c r="AD20" s="2" t="str">
        <x:f>IF(NOT(ISNUMBER(N20)),"판정불가: UV차단율 누락",IF(AND(N20&gt;='기준표'!$D$11,N20&lt;='기준표'!$F$11),"통과","불합격: UV차단율 "&amp;N20&amp;" (허용 "&amp;'기준표'!$D$11&amp;"~"&amp;'기준표'!$F$11&amp;")"))</x:f>
        <x:v>통과</x:v>
      </x:c>
      <x:c r="AE20" s="2" t="str">
        <x:f>IF(NOT(ISNUMBER(O20)),"판정불가: 색상균일도 누락",IF(AND(O20&gt;='기준표'!$D$12,O20&lt;='기준표'!$F$12),"통과","불합격: 색상균일도 "&amp;O20&amp;" (허용 "&amp;'기준표'!$D$12&amp;"~"&amp;'기준표'!$F$12&amp;")"))</x:f>
        <x:v>통과</x:v>
      </x:c>
      <x:c r="AF20" s="2" t="str">
        <x:f>IF(NOT(ISNUMBER(P20)),"판정불가: 틴트농도 누락",IF(AND(P20&gt;='기준표'!$D$13,P20&lt;='기준표'!$F$13),"통과","불합격: 틴트농도 "&amp;P20&amp;" (허용 "&amp;'기준표'!$D$13&amp;"~"&amp;'기준표'!$F$13&amp;")"))</x:f>
        <x:v>통과</x:v>
      </x:c>
      <x:c r="AG20" s="2" t="str">
        <x:f>IF(IF(B20="CR-39",14,IF(B20="폴리카보네이트",15,IF(B20="하이인덱스",16,0)))=0,"판정불가: 소재 기준 없음",IF(NOT(ISNUMBER(G20)),"판정불가: 굴절률 누락",IF(AND(G20&gt;=INDEX('기준표'!$D$1:$D$16,IF(B20="CR-39",14,IF(B20="폴리카보네이트",15,IF(B20="하이인덱스",16,0)))),G20&lt;=INDEX('기준표'!$F$1:$F$16,IF(B20="CR-39",14,IF(B20="폴리카보네이트",15,IF(B20="하이인덱스",16,0))))),"통과","불합격: 굴절률 "&amp;G20&amp;" (허용 "&amp;INDEX('기준표'!$D$1:$D$16,IF(B20="CR-39",14,IF(B20="폴리카보네이트",15,IF(B20="하이인덱스",16,0))))&amp;"~"&amp;INDEX('기준표'!$F$1:$F$16,IF(B20="CR-39",14,IF(B20="폴리카보네이트",15,IF(B20="하이인덱스",16,0))))&amp;")")))</x:f>
        <x:v>통과</x:v>
      </x:c>
    </x:row>
    <x:row r="21" ht="76" customHeight="1">
      <x:c r="A21" s="2" t="str">
        <x:v>L020</x:v>
      </x:c>
      <x:c r="B21" s="10" t="str">
        <x:v>하이인덱스</x:v>
      </x:c>
      <x:c r="C21" s="10" t="str">
        <x:v>클리어뷰 UV프로텍트 012</x:v>
      </x:c>
      <x:c r="D21" s="7" t="n">
        <x:v>1</x:v>
      </x:c>
      <x:c r="E21" s="7" t="n">
        <x:v>0</x:v>
      </x:c>
      <x:c r="F21" s="7" t="n">
        <x:v>1</x:v>
      </x:c>
      <x:c r="G21" s="7" t="n">
        <x:v>1.692</x:v>
      </x:c>
      <x:c r="H21" s="7" t="n">
        <x:v>94</x:v>
      </x:c>
      <x:c r="I21" s="7" t="n">
        <x:v>1.2</x:v>
      </x:c>
      <x:c r="J21" s="7" t="n">
        <x:v>70.02</x:v>
      </x:c>
      <x:c r="K21" s="7" t="n">
        <x:v>2.05</x:v>
      </x:c>
      <x:c r="L21" s="7" t="n">
        <x:v>1.9</x:v>
      </x:c>
      <x:c r="M21" s="7" t="n">
        <x:v>84.1</x:v>
      </x:c>
      <x:c r="N21" s="7" t="n">
        <x:v>99.6</x:v>
      </x:c>
      <x:c r="O21" s="7" t="n">
        <x:v>0.62</x:v>
      </x:c>
      <x:c r="P21" s="7" t="n">
        <x:v>18.2</x:v>
      </x:c>
      <x:c r="Q21" s="2" t="str">
        <x:f>IF(OR(LEFT(U21,3)="불합격",LEFT(V21,3)="불합격",LEFT(W21,3)="불합격",LEFT(X21,3)="불합격",LEFT(Y21,3)="불합격",LEFT(Z21,3)="불합격",LEFT(AA21,3)="불합격",LEFT(AB21,3)="불합격",LEFT(AC21,3)="불합격",LEFT(AD21,3)="불합격",LEFT(AE21,3)="불합격",LEFT(AF21,3)="불합격",LEFT(AG21,3)="불합격"),"불합격",IF(AND(U21="통과",V21="통과",W21="통과",X21="통과",Y21="통과",Z21="통과",AA21="통과",AB21="통과",AC21="통과",AD21="통과",AE21="통과",AF21="통과",AG21="통과"),"합격","판정불가"))</x:f>
        <x:v>합격</x:v>
      </x:c>
      <x:c r="R21" s="9" t="str">
        <x:f>IF(Q21="합격","13개 항목 모두 허용범위 이내",IF(U21="통과","",U21&amp;CHAR(10))&amp;IF(V21="통과","",V21&amp;CHAR(10))&amp;IF(W21="통과","",W21&amp;CHAR(10))&amp;IF(X21="통과","",X21&amp;CHAR(10))&amp;IF(Y21="통과","",Y21&amp;CHAR(10))&amp;IF(Z21="통과","",Z21&amp;CHAR(10))&amp;IF(AA21="통과","",AA21&amp;CHAR(10))&amp;IF(AB21="통과","",AB21&amp;CHAR(10))&amp;IF(AC21="통과","",AC21&amp;CHAR(10))&amp;IF(AD21="통과","",AD21&amp;CHAR(10))&amp;IF(AE21="통과","",AE21&amp;CHAR(10))&amp;IF(AF21="통과","",AF21&amp;CHAR(10))&amp;IF(AG21="통과","",AG21&amp;CHAR(10)))</x:f>
        <x:v>13개 항목 모두 허용범위 이내</x:v>
      </x:c>
      <x:c r="S21" s="2" t="str">
        <x:v>합격</x:v>
      </x:c>
      <x:c r="T21" s="9"/>
      <x:c r="U21" s="2" t="str">
        <x:f>IF(NOT(ISNUMBER(D21)),"판정불가: 스크래치등급 누락",IF(AND(D21&gt;='기준표'!$D$2,D21&lt;='기준표'!$F$2),"통과","불합격: 스크래치등급 "&amp;D21&amp;" (허용 "&amp;'기준표'!$D$2&amp;"~"&amp;'기준표'!$F$2&amp;")"))</x:f>
        <x:v>통과</x:v>
      </x:c>
      <x:c r="V21" s="2" t="str">
        <x:f>IF(NOT(ISNUMBER(E21)),"판정불가: 기포이물질개수 누락",IF(AND(E21&gt;='기준표'!$D$3,E21&lt;='기준표'!$F$3),"통과","불합격: 기포이물질개수 "&amp;E21&amp;" (허용 "&amp;'기준표'!$D$3&amp;"~"&amp;'기준표'!$F$3&amp;")"))</x:f>
        <x:v>통과</x:v>
      </x:c>
      <x:c r="W21" s="2" t="str">
        <x:f>IF(NOT(ISNUMBER(F21)),"판정불가: 코팅불량개수 누락",IF(AND(F21&gt;='기준표'!$D$4,F21&lt;='기준표'!$F$4),"통과","불합격: 코팅불량개수 "&amp;F21&amp;" (허용 "&amp;'기준표'!$D$4&amp;"~"&amp;'기준표'!$F$4&amp;")"))</x:f>
        <x:v>통과</x:v>
      </x:c>
      <x:c r="X21" s="2" t="str">
        <x:f>IF(NOT(ISNUMBER(H21)),"판정불가: 광투과율 누락",IF(AND(H21&gt;='기준표'!$D$5,H21&lt;='기준표'!$F$5),"통과","불합격: 광투과율 "&amp;H21&amp;" (허용 "&amp;'기준표'!$D$5&amp;"~"&amp;'기준표'!$F$5&amp;")"))</x:f>
        <x:v>통과</x:v>
      </x:c>
      <x:c r="Y21" s="2" t="str">
        <x:f>IF(NOT(ISNUMBER(I21)),"판정불가: 왜곡률 누락",IF(AND(I21&gt;='기준표'!$D$6,I21&lt;='기준표'!$F$6),"통과","불합격: 왜곡률 "&amp;I21&amp;" (허용 "&amp;'기준표'!$D$6&amp;"~"&amp;'기준표'!$F$6&amp;")"))</x:f>
        <x:v>통과</x:v>
      </x:c>
      <x:c r="Z21" s="2" t="str">
        <x:f>IF(NOT(ISNUMBER(J21)),"판정불가: 렌즈직경 누락",IF(AND(J21&gt;='기준표'!$D$7,J21&lt;='기준표'!$F$7),"통과","불합격: 렌즈직경 "&amp;J21&amp;" (허용 "&amp;'기준표'!$D$7&amp;"~"&amp;'기준표'!$F$7&amp;")"))</x:f>
        <x:v>통과</x:v>
      </x:c>
      <x:c r="AA21" s="2" t="str">
        <x:f>IF(NOT(ISNUMBER(K21)),"판정불가: 중심두께 누락",IF(AND(K21&gt;='기준표'!$D$8,K21&lt;='기준표'!$F$8),"통과","불합격: 중심두께 "&amp;K21&amp;" (허용 "&amp;'기준표'!$D$8&amp;"~"&amp;'기준표'!$F$8&amp;")"))</x:f>
        <x:v>통과</x:v>
      </x:c>
      <x:c r="AB21" s="2" t="str">
        <x:f>IF(NOT(ISNUMBER(L21)),"판정불가: 가장자리두께 누락",IF(AND(L21&gt;='기준표'!$D$9,L21&lt;='기준표'!$F$9),"통과","불합격: 가장자리두께 "&amp;L21&amp;" (허용 "&amp;'기준표'!$D$9&amp;"~"&amp;'기준표'!$F$9&amp;")"))</x:f>
        <x:v>통과</x:v>
      </x:c>
      <x:c r="AC21" s="2" t="str">
        <x:f>IF(NOT(ISNUMBER(M21)),"판정불가: 곡률반경 누락",IF(AND(M21&gt;='기준표'!$D$10,M21&lt;='기준표'!$F$10),"통과","불합격: 곡률반경 "&amp;M21&amp;" (허용 "&amp;'기준표'!$D$10&amp;"~"&amp;'기준표'!$F$10&amp;")"))</x:f>
        <x:v>통과</x:v>
      </x:c>
      <x:c r="AD21" s="2" t="str">
        <x:f>IF(NOT(ISNUMBER(N21)),"판정불가: UV차단율 누락",IF(AND(N21&gt;='기준표'!$D$11,N21&lt;='기준표'!$F$11),"통과","불합격: UV차단율 "&amp;N21&amp;" (허용 "&amp;'기준표'!$D$11&amp;"~"&amp;'기준표'!$F$11&amp;")"))</x:f>
        <x:v>통과</x:v>
      </x:c>
      <x:c r="AE21" s="2" t="str">
        <x:f>IF(NOT(ISNUMBER(O21)),"판정불가: 색상균일도 누락",IF(AND(O21&gt;='기준표'!$D$12,O21&lt;='기준표'!$F$12),"통과","불합격: 색상균일도 "&amp;O21&amp;" (허용 "&amp;'기준표'!$D$12&amp;"~"&amp;'기준표'!$F$12&amp;")"))</x:f>
        <x:v>통과</x:v>
      </x:c>
      <x:c r="AF21" s="2" t="str">
        <x:f>IF(NOT(ISNUMBER(P21)),"판정불가: 틴트농도 누락",IF(AND(P21&gt;='기준표'!$D$13,P21&lt;='기준표'!$F$13),"통과","불합격: 틴트농도 "&amp;P21&amp;" (허용 "&amp;'기준표'!$D$13&amp;"~"&amp;'기준표'!$F$13&amp;")"))</x:f>
        <x:v>통과</x:v>
      </x:c>
      <x:c r="AG21" s="2" t="str">
        <x:f>IF(IF(B21="CR-39",14,IF(B21="폴리카보네이트",15,IF(B21="하이인덱스",16,0)))=0,"판정불가: 소재 기준 없음",IF(NOT(ISNUMBER(G21)),"판정불가: 굴절률 누락",IF(AND(G21&gt;=INDEX('기준표'!$D$1:$D$16,IF(B21="CR-39",14,IF(B21="폴리카보네이트",15,IF(B21="하이인덱스",16,0)))),G21&lt;=INDEX('기준표'!$F$1:$F$16,IF(B21="CR-39",14,IF(B21="폴리카보네이트",15,IF(B21="하이인덱스",16,0))))),"통과","불합격: 굴절률 "&amp;G21&amp;" (허용 "&amp;INDEX('기준표'!$D$1:$D$16,IF(B21="CR-39",14,IF(B21="폴리카보네이트",15,IF(B21="하이인덱스",16,0))))&amp;"~"&amp;INDEX('기준표'!$F$1:$F$16,IF(B21="CR-39",14,IF(B21="폴리카보네이트",15,IF(B21="하이인덱스",16,0))))&amp;")")))</x:f>
        <x:v>통과</x:v>
      </x:c>
    </x:row>
    <x:row r="22" ht="76" customHeight="1">
      <x:c r="A22" s="2" t="str">
        <x:v>L021</x:v>
      </x:c>
      <x:c r="B22" s="10" t="str">
        <x:v>폴리카보네이트</x:v>
      </x:c>
      <x:c r="C22" s="10" t="str">
        <x:v>루체나 선글라스틴트 019</x:v>
      </x:c>
      <x:c r="D22" s="7" t="n">
        <x:v>1</x:v>
      </x:c>
      <x:c r="E22" s="7" t="n">
        <x:v>1</x:v>
      </x:c>
      <x:c r="F22" s="7" t="n">
        <x:v>0</x:v>
      </x:c>
      <x:c r="G22" s="7" t="n">
        <x:v>1.599</x:v>
      </x:c>
      <x:c r="H22" s="7" t="n">
        <x:v>93.6</x:v>
      </x:c>
      <x:c r="I22" s="7" t="n">
        <x:v>1</x:v>
      </x:c>
      <x:c r="J22" s="7" t="n">
        <x:v>71.31</x:v>
      </x:c>
      <x:c r="K22" s="7" t="n">
        <x:v>2.12</x:v>
      </x:c>
      <x:c r="L22" s="7" t="n">
        <x:v>1.38</x:v>
      </x:c>
      <x:c r="M22" s="7" t="n">
        <x:v>76</x:v>
      </x:c>
      <x:c r="N22" s="7" t="n">
        <x:v>99</x:v>
      </x:c>
      <x:c r="O22" s="7" t="n">
        <x:v>0.47</x:v>
      </x:c>
      <x:c r="P22" s="7" t="n">
        <x:v>24.1</x:v>
      </x:c>
      <x:c r="Q22" s="2" t="str">
        <x:f>IF(OR(LEFT(U22,3)="불합격",LEFT(V22,3)="불합격",LEFT(W22,3)="불합격",LEFT(X22,3)="불합격",LEFT(Y22,3)="불합격",LEFT(Z22,3)="불합격",LEFT(AA22,3)="불합격",LEFT(AB22,3)="불합격",LEFT(AC22,3)="불합격",LEFT(AD22,3)="불합격",LEFT(AE22,3)="불합격",LEFT(AF22,3)="불합격",LEFT(AG22,3)="불합격"),"불합격",IF(AND(U22="통과",V22="통과",W22="통과",X22="통과",Y22="통과",Z22="통과",AA22="통과",AB22="통과",AC22="통과",AD22="통과",AE22="통과",AF22="통과",AG22="통과"),"합격","판정불가"))</x:f>
        <x:v>불합격</x:v>
      </x:c>
      <x:c r="R22" s="9" t="str">
        <x:f>IF(Q22="합격","13개 항목 모두 허용범위 이내",IF(U22="통과","",U22&amp;CHAR(10))&amp;IF(V22="통과","",V22&amp;CHAR(10))&amp;IF(W22="통과","",W22&amp;CHAR(10))&amp;IF(X22="통과","",X22&amp;CHAR(10))&amp;IF(Y22="통과","",Y22&amp;CHAR(10))&amp;IF(Z22="통과","",Z22&amp;CHAR(10))&amp;IF(AA22="통과","",AA22&amp;CHAR(10))&amp;IF(AB22="통과","",AB22&amp;CHAR(10))&amp;IF(AC22="통과","",AC22&amp;CHAR(10))&amp;IF(AD22="통과","",AD22&amp;CHAR(10))&amp;IF(AE22="통과","",AE22&amp;CHAR(10))&amp;IF(AF22="통과","",AF22&amp;CHAR(10))&amp;IF(AG22="통과","",AG22&amp;CHAR(10)))</x:f>
        <x:v>불합격: 틴트농도 24.1 (허용 17~23)
</x:v>
      </x:c>
      <x:c r="S22" s="2" t="str">
        <x:v>합격</x:v>
      </x:c>
      <x:c r="T22" s="9"/>
      <x:c r="U22" s="2" t="str">
        <x:f>IF(NOT(ISNUMBER(D22)),"판정불가: 스크래치등급 누락",IF(AND(D22&gt;='기준표'!$D$2,D22&lt;='기준표'!$F$2),"통과","불합격: 스크래치등급 "&amp;D22&amp;" (허용 "&amp;'기준표'!$D$2&amp;"~"&amp;'기준표'!$F$2&amp;")"))</x:f>
        <x:v>통과</x:v>
      </x:c>
      <x:c r="V22" s="2" t="str">
        <x:f>IF(NOT(ISNUMBER(E22)),"판정불가: 기포이물질개수 누락",IF(AND(E22&gt;='기준표'!$D$3,E22&lt;='기준표'!$F$3),"통과","불합격: 기포이물질개수 "&amp;E22&amp;" (허용 "&amp;'기준표'!$D$3&amp;"~"&amp;'기준표'!$F$3&amp;")"))</x:f>
        <x:v>통과</x:v>
      </x:c>
      <x:c r="W22" s="2" t="str">
        <x:f>IF(NOT(ISNUMBER(F22)),"판정불가: 코팅불량개수 누락",IF(AND(F22&gt;='기준표'!$D$4,F22&lt;='기준표'!$F$4),"통과","불합격: 코팅불량개수 "&amp;F22&amp;" (허용 "&amp;'기준표'!$D$4&amp;"~"&amp;'기준표'!$F$4&amp;")"))</x:f>
        <x:v>통과</x:v>
      </x:c>
      <x:c r="X22" s="2" t="str">
        <x:f>IF(NOT(ISNUMBER(H22)),"판정불가: 광투과율 누락",IF(AND(H22&gt;='기준표'!$D$5,H22&lt;='기준표'!$F$5),"통과","불합격: 광투과율 "&amp;H22&amp;" (허용 "&amp;'기준표'!$D$5&amp;"~"&amp;'기준표'!$F$5&amp;")"))</x:f>
        <x:v>통과</x:v>
      </x:c>
      <x:c r="Y22" s="2" t="str">
        <x:f>IF(NOT(ISNUMBER(I22)),"판정불가: 왜곡률 누락",IF(AND(I22&gt;='기준표'!$D$6,I22&lt;='기준표'!$F$6),"통과","불합격: 왜곡률 "&amp;I22&amp;" (허용 "&amp;'기준표'!$D$6&amp;"~"&amp;'기준표'!$F$6&amp;")"))</x:f>
        <x:v>통과</x:v>
      </x:c>
      <x:c r="Z22" s="2" t="str">
        <x:f>IF(NOT(ISNUMBER(J22)),"판정불가: 렌즈직경 누락",IF(AND(J22&gt;='기준표'!$D$7,J22&lt;='기준표'!$F$7),"통과","불합격: 렌즈직경 "&amp;J22&amp;" (허용 "&amp;'기준표'!$D$7&amp;"~"&amp;'기준표'!$F$7&amp;")"))</x:f>
        <x:v>통과</x:v>
      </x:c>
      <x:c r="AA22" s="2" t="str">
        <x:f>IF(NOT(ISNUMBER(K22)),"판정불가: 중심두께 누락",IF(AND(K22&gt;='기준표'!$D$8,K22&lt;='기준표'!$F$8),"통과","불합격: 중심두께 "&amp;K22&amp;" (허용 "&amp;'기준표'!$D$8&amp;"~"&amp;'기준표'!$F$8&amp;")"))</x:f>
        <x:v>통과</x:v>
      </x:c>
      <x:c r="AB22" s="2" t="str">
        <x:f>IF(NOT(ISNUMBER(L22)),"판정불가: 가장자리두께 누락",IF(AND(L22&gt;='기준표'!$D$9,L22&lt;='기준표'!$F$9),"통과","불합격: 가장자리두께 "&amp;L22&amp;" (허용 "&amp;'기준표'!$D$9&amp;"~"&amp;'기준표'!$F$9&amp;")"))</x:f>
        <x:v>통과</x:v>
      </x:c>
      <x:c r="AC22" s="2" t="str">
        <x:f>IF(NOT(ISNUMBER(M22)),"판정불가: 곡률반경 누락",IF(AND(M22&gt;='기준표'!$D$10,M22&lt;='기준표'!$F$10),"통과","불합격: 곡률반경 "&amp;M22&amp;" (허용 "&amp;'기준표'!$D$10&amp;"~"&amp;'기준표'!$F$10&amp;")"))</x:f>
        <x:v>통과</x:v>
      </x:c>
      <x:c r="AD22" s="2" t="str">
        <x:f>IF(NOT(ISNUMBER(N22)),"판정불가: UV차단율 누락",IF(AND(N22&gt;='기준표'!$D$11,N22&lt;='기준표'!$F$11),"통과","불합격: UV차단율 "&amp;N22&amp;" (허용 "&amp;'기준표'!$D$11&amp;"~"&amp;'기준표'!$F$11&amp;")"))</x:f>
        <x:v>통과</x:v>
      </x:c>
      <x:c r="AE22" s="2" t="str">
        <x:f>IF(NOT(ISNUMBER(O22)),"판정불가: 색상균일도 누락",IF(AND(O22&gt;='기준표'!$D$12,O22&lt;='기준표'!$F$12),"통과","불합격: 색상균일도 "&amp;O22&amp;" (허용 "&amp;'기준표'!$D$12&amp;"~"&amp;'기준표'!$F$12&amp;")"))</x:f>
        <x:v>통과</x:v>
      </x:c>
      <x:c r="AF22" s="2" t="str">
        <x:f>IF(NOT(ISNUMBER(P22)),"판정불가: 틴트농도 누락",IF(AND(P22&gt;='기준표'!$D$13,P22&lt;='기준표'!$F$13),"통과","불합격: 틴트농도 "&amp;P22&amp;" (허용 "&amp;'기준표'!$D$13&amp;"~"&amp;'기준표'!$F$13&amp;")"))</x:f>
        <x:v>불합격: 틴트농도 24.1 (허용 17~23)</x:v>
      </x:c>
      <x:c r="AG22" s="2" t="str">
        <x:f>IF(IF(B22="CR-39",14,IF(B22="폴리카보네이트",15,IF(B22="하이인덱스",16,0)))=0,"판정불가: 소재 기준 없음",IF(NOT(ISNUMBER(G22)),"판정불가: 굴절률 누락",IF(AND(G22&gt;=INDEX('기준표'!$D$1:$D$16,IF(B22="CR-39",14,IF(B22="폴리카보네이트",15,IF(B22="하이인덱스",16,0)))),G22&lt;=INDEX('기준표'!$F$1:$F$16,IF(B22="CR-39",14,IF(B22="폴리카보네이트",15,IF(B22="하이인덱스",16,0))))),"통과","불합격: 굴절률 "&amp;G22&amp;" (허용 "&amp;INDEX('기준표'!$D$1:$D$16,IF(B22="CR-39",14,IF(B22="폴리카보네이트",15,IF(B22="하이인덱스",16,0))))&amp;"~"&amp;INDEX('기준표'!$F$1:$F$16,IF(B22="CR-39",14,IF(B22="폴리카보네이트",15,IF(B22="하이인덱스",16,0))))&amp;")")))</x:f>
        <x:v>통과</x:v>
      </x:c>
    </x:row>
    <x:row r="23" ht="76" customHeight="1">
      <x:c r="A23" s="2" t="str">
        <x:v>L022</x:v>
      </x:c>
      <x:c r="B23" s="10" t="str">
        <x:v>폴리카보네이트</x:v>
      </x:c>
      <x:c r="C23" s="10" t="str">
        <x:v>비전프로 블루라이트컷 004</x:v>
      </x:c>
      <x:c r="D23" s="7" t="n">
        <x:v>1</x:v>
      </x:c>
      <x:c r="E23" s="7" t="n">
        <x:v>0</x:v>
      </x:c>
      <x:c r="F23" s="7" t="n">
        <x:v>0</x:v>
      </x:c>
      <x:c r="G23" s="7" t="n">
        <x:v>1.588</x:v>
      </x:c>
      <x:c r="H23" s="7" t="n">
        <x:v>89.4</x:v>
      </x:c>
      <x:c r="I23" s="7" t="n">
        <x:v>0.5</x:v>
      </x:c>
      <x:c r="J23" s="7" t="n">
        <x:v>72.55</x:v>
      </x:c>
      <x:c r="K23" s="7" t="n">
        <x:v>2.11</x:v>
      </x:c>
      <x:c r="L23" s="7" t="n">
        <x:v>1.43</x:v>
      </x:c>
      <x:c r="M23" s="7" t="n">
        <x:v>91.3</x:v>
      </x:c>
      <x:c r="N23" s="7" t="n">
        <x:v>99.4</x:v>
      </x:c>
      <x:c r="O23" s="7" t="n">
        <x:v>0.51</x:v>
      </x:c>
      <x:c r="P23" s="7" t="n">
        <x:v>18.1</x:v>
      </x:c>
      <x:c r="Q23" s="2" t="str">
        <x:f>IF(OR(LEFT(U23,3)="불합격",LEFT(V23,3)="불합격",LEFT(W23,3)="불합격",LEFT(X23,3)="불합격",LEFT(Y23,3)="불합격",LEFT(Z23,3)="불합격",LEFT(AA23,3)="불합격",LEFT(AB23,3)="불합격",LEFT(AC23,3)="불합격",LEFT(AD23,3)="불합격",LEFT(AE23,3)="불합격",LEFT(AF23,3)="불합격",LEFT(AG23,3)="불합격"),"불합격",IF(AND(U23="통과",V23="통과",W23="통과",X23="통과",Y23="통과",Z23="통과",AA23="통과",AB23="통과",AC23="통과",AD23="통과",AE23="통과",AF23="통과",AG23="통과"),"합격","판정불가"))</x:f>
        <x:v>불합격</x:v>
      </x:c>
      <x:c r="R23" s="9" t="str">
        <x:f>IF(Q23="합격","13개 항목 모두 허용범위 이내",IF(U23="통과","",U23&amp;CHAR(10))&amp;IF(V23="통과","",V23&amp;CHAR(10))&amp;IF(W23="통과","",W23&amp;CHAR(10))&amp;IF(X23="통과","",X23&amp;CHAR(10))&amp;IF(Y23="통과","",Y23&amp;CHAR(10))&amp;IF(Z23="통과","",Z23&amp;CHAR(10))&amp;IF(AA23="통과","",AA23&amp;CHAR(10))&amp;IF(AB23="통과","",AB23&amp;CHAR(10))&amp;IF(AC23="통과","",AC23&amp;CHAR(10))&amp;IF(AD23="통과","",AD23&amp;CHAR(10))&amp;IF(AE23="통과","",AE23&amp;CHAR(10))&amp;IF(AF23="통과","",AF23&amp;CHAR(10))&amp;IF(AG23="통과","",AG23&amp;CHAR(10)))</x:f>
        <x:v>불합격: 곡률반경 91.3 (허용 74~88)
</x:v>
      </x:c>
      <x:c r="S23" s="2" t="str">
        <x:v>불량</x:v>
      </x:c>
      <x:c r="T23" s="9" t="str">
        <x:v>곡률반경</x:v>
      </x:c>
      <x:c r="U23" s="2" t="str">
        <x:f>IF(NOT(ISNUMBER(D23)),"판정불가: 스크래치등급 누락",IF(AND(D23&gt;='기준표'!$D$2,D23&lt;='기준표'!$F$2),"통과","불합격: 스크래치등급 "&amp;D23&amp;" (허용 "&amp;'기준표'!$D$2&amp;"~"&amp;'기준표'!$F$2&amp;")"))</x:f>
        <x:v>통과</x:v>
      </x:c>
      <x:c r="V23" s="2" t="str">
        <x:f>IF(NOT(ISNUMBER(E23)),"판정불가: 기포이물질개수 누락",IF(AND(E23&gt;='기준표'!$D$3,E23&lt;='기준표'!$F$3),"통과","불합격: 기포이물질개수 "&amp;E23&amp;" (허용 "&amp;'기준표'!$D$3&amp;"~"&amp;'기준표'!$F$3&amp;")"))</x:f>
        <x:v>통과</x:v>
      </x:c>
      <x:c r="W23" s="2" t="str">
        <x:f>IF(NOT(ISNUMBER(F23)),"판정불가: 코팅불량개수 누락",IF(AND(F23&gt;='기준표'!$D$4,F23&lt;='기준표'!$F$4),"통과","불합격: 코팅불량개수 "&amp;F23&amp;" (허용 "&amp;'기준표'!$D$4&amp;"~"&amp;'기준표'!$F$4&amp;")"))</x:f>
        <x:v>통과</x:v>
      </x:c>
      <x:c r="X23" s="2" t="str">
        <x:f>IF(NOT(ISNUMBER(H23)),"판정불가: 광투과율 누락",IF(AND(H23&gt;='기준표'!$D$5,H23&lt;='기준표'!$F$5),"통과","불합격: 광투과율 "&amp;H23&amp;" (허용 "&amp;'기준표'!$D$5&amp;"~"&amp;'기준표'!$F$5&amp;")"))</x:f>
        <x:v>통과</x:v>
      </x:c>
      <x:c r="Y23" s="2" t="str">
        <x:f>IF(NOT(ISNUMBER(I23)),"판정불가: 왜곡률 누락",IF(AND(I23&gt;='기준표'!$D$6,I23&lt;='기준표'!$F$6),"통과","불합격: 왜곡률 "&amp;I23&amp;" (허용 "&amp;'기준표'!$D$6&amp;"~"&amp;'기준표'!$F$6&amp;")"))</x:f>
        <x:v>통과</x:v>
      </x:c>
      <x:c r="Z23" s="2" t="str">
        <x:f>IF(NOT(ISNUMBER(J23)),"판정불가: 렌즈직경 누락",IF(AND(J23&gt;='기준표'!$D$7,J23&lt;='기준표'!$F$7),"통과","불합격: 렌즈직경 "&amp;J23&amp;" (허용 "&amp;'기준표'!$D$7&amp;"~"&amp;'기준표'!$F$7&amp;")"))</x:f>
        <x:v>통과</x:v>
      </x:c>
      <x:c r="AA23" s="2" t="str">
        <x:f>IF(NOT(ISNUMBER(K23)),"판정불가: 중심두께 누락",IF(AND(K23&gt;='기준표'!$D$8,K23&lt;='기준표'!$F$8),"통과","불합격: 중심두께 "&amp;K23&amp;" (허용 "&amp;'기준표'!$D$8&amp;"~"&amp;'기준표'!$F$8&amp;")"))</x:f>
        <x:v>통과</x:v>
      </x:c>
      <x:c r="AB23" s="2" t="str">
        <x:f>IF(NOT(ISNUMBER(L23)),"판정불가: 가장자리두께 누락",IF(AND(L23&gt;='기준표'!$D$9,L23&lt;='기준표'!$F$9),"통과","불합격: 가장자리두께 "&amp;L23&amp;" (허용 "&amp;'기준표'!$D$9&amp;"~"&amp;'기준표'!$F$9&amp;")"))</x:f>
        <x:v>통과</x:v>
      </x:c>
      <x:c r="AC23" s="2" t="str">
        <x:f>IF(NOT(ISNUMBER(M23)),"판정불가: 곡률반경 누락",IF(AND(M23&gt;='기준표'!$D$10,M23&lt;='기준표'!$F$10),"통과","불합격: 곡률반경 "&amp;M23&amp;" (허용 "&amp;'기준표'!$D$10&amp;"~"&amp;'기준표'!$F$10&amp;")"))</x:f>
        <x:v>불합격: 곡률반경 91.3 (허용 74~88)</x:v>
      </x:c>
      <x:c r="AD23" s="2" t="str">
        <x:f>IF(NOT(ISNUMBER(N23)),"판정불가: UV차단율 누락",IF(AND(N23&gt;='기준표'!$D$11,N23&lt;='기준표'!$F$11),"통과","불합격: UV차단율 "&amp;N23&amp;" (허용 "&amp;'기준표'!$D$11&amp;"~"&amp;'기준표'!$F$11&amp;")"))</x:f>
        <x:v>통과</x:v>
      </x:c>
      <x:c r="AE23" s="2" t="str">
        <x:f>IF(NOT(ISNUMBER(O23)),"판정불가: 색상균일도 누락",IF(AND(O23&gt;='기준표'!$D$12,O23&lt;='기준표'!$F$12),"통과","불합격: 색상균일도 "&amp;O23&amp;" (허용 "&amp;'기준표'!$D$12&amp;"~"&amp;'기준표'!$F$12&amp;")"))</x:f>
        <x:v>통과</x:v>
      </x:c>
      <x:c r="AF23" s="2" t="str">
        <x:f>IF(NOT(ISNUMBER(P23)),"판정불가: 틴트농도 누락",IF(AND(P23&gt;='기준표'!$D$13,P23&lt;='기준표'!$F$13),"통과","불합격: 틴트농도 "&amp;P23&amp;" (허용 "&amp;'기준표'!$D$13&amp;"~"&amp;'기준표'!$F$13&amp;")"))</x:f>
        <x:v>통과</x:v>
      </x:c>
      <x:c r="AG23" s="2" t="str">
        <x:f>IF(IF(B23="CR-39",14,IF(B23="폴리카보네이트",15,IF(B23="하이인덱스",16,0)))=0,"판정불가: 소재 기준 없음",IF(NOT(ISNUMBER(G23)),"판정불가: 굴절률 누락",IF(AND(G23&gt;=INDEX('기준표'!$D$1:$D$16,IF(B23="CR-39",14,IF(B23="폴리카보네이트",15,IF(B23="하이인덱스",16,0)))),G23&lt;=INDEX('기준표'!$F$1:$F$16,IF(B23="CR-39",14,IF(B23="폴리카보네이트",15,IF(B23="하이인덱스",16,0))))),"통과","불합격: 굴절률 "&amp;G23&amp;" (허용 "&amp;INDEX('기준표'!$D$1:$D$16,IF(B23="CR-39",14,IF(B23="폴리카보네이트",15,IF(B23="하이인덱스",16,0))))&amp;"~"&amp;INDEX('기준표'!$F$1:$F$16,IF(B23="CR-39",14,IF(B23="폴리카보네이트",15,IF(B23="하이인덱스",16,0))))&amp;")")))</x:f>
        <x:v>통과</x:v>
      </x:c>
    </x:row>
    <x:row r="24" ht="76" customHeight="1">
      <x:c r="A24" s="2" t="str">
        <x:v>L023</x:v>
      </x:c>
      <x:c r="B24" s="10" t="str">
        <x:v>폴리카보네이트</x:v>
      </x:c>
      <x:c r="C24" s="10" t="str">
        <x:v>비전프로 선글라스틴트 024</x:v>
      </x:c>
      <x:c r="D24" s="7" t="n">
        <x:v>0</x:v>
      </x:c>
      <x:c r="E24" s="7" t="n">
        <x:v>1</x:v>
      </x:c>
      <x:c r="F24" s="7" t="n">
        <x:v>0</x:v>
      </x:c>
      <x:c r="G24" s="7" t="n">
        <x:v>1.593</x:v>
      </x:c>
      <x:c r="H24" s="7" t="n">
        <x:v>93.6</x:v>
      </x:c>
      <x:c r="I24" s="7" t="n">
        <x:v>0.3</x:v>
      </x:c>
      <x:c r="J24" s="7" t="n">
        <x:v>71.91</x:v>
      </x:c>
      <x:c r="K24" s="7" t="n">
        <x:v>2.1</x:v>
      </x:c>
      <x:c r="L24" s="7" t="n">
        <x:v>1.37</x:v>
      </x:c>
      <x:c r="M24" s="7" t="n">
        <x:v>74.7</x:v>
      </x:c>
      <x:c r="N24" s="7" t="n">
        <x:v>99.7</x:v>
      </x:c>
      <x:c r="O24" s="7" t="n">
        <x:v>0</x:v>
      </x:c>
      <x:c r="P24" s="7" t="n">
        <x:v>19.7</x:v>
      </x:c>
      <x:c r="Q24" s="2" t="str">
        <x:f>IF(OR(LEFT(U24,3)="불합격",LEFT(V24,3)="불합격",LEFT(W24,3)="불합격",LEFT(X24,3)="불합격",LEFT(Y24,3)="불합격",LEFT(Z24,3)="불합격",LEFT(AA24,3)="불합격",LEFT(AB24,3)="불합격",LEFT(AC24,3)="불합격",LEFT(AD24,3)="불합격",LEFT(AE24,3)="불합격",LEFT(AF24,3)="불합격",LEFT(AG24,3)="불합격"),"불합격",IF(AND(U24="통과",V24="통과",W24="통과",X24="통과",Y24="통과",Z24="통과",AA24="통과",AB24="통과",AC24="통과",AD24="통과",AE24="통과",AF24="통과",AG24="통과"),"합격","판정불가"))</x:f>
        <x:v>합격</x:v>
      </x:c>
      <x:c r="R24" s="9" t="str">
        <x:f>IF(Q24="합격","13개 항목 모두 허용범위 이내",IF(U24="통과","",U24&amp;CHAR(10))&amp;IF(V24="통과","",V24&amp;CHAR(10))&amp;IF(W24="통과","",W24&amp;CHAR(10))&amp;IF(X24="통과","",X24&amp;CHAR(10))&amp;IF(Y24="통과","",Y24&amp;CHAR(10))&amp;IF(Z24="통과","",Z24&amp;CHAR(10))&amp;IF(AA24="통과","",AA24&amp;CHAR(10))&amp;IF(AB24="통과","",AB24&amp;CHAR(10))&amp;IF(AC24="통과","",AC24&amp;CHAR(10))&amp;IF(AD24="통과","",AD24&amp;CHAR(10))&amp;IF(AE24="통과","",AE24&amp;CHAR(10))&amp;IF(AF24="통과","",AF24&amp;CHAR(10))&amp;IF(AG24="통과","",AG24&amp;CHAR(10)))</x:f>
        <x:v>13개 항목 모두 허용범위 이내</x:v>
      </x:c>
      <x:c r="S24" s="2" t="str">
        <x:v>합격</x:v>
      </x:c>
      <x:c r="T24" s="9"/>
      <x:c r="U24" s="2" t="str">
        <x:f>IF(NOT(ISNUMBER(D24)),"판정불가: 스크래치등급 누락",IF(AND(D24&gt;='기준표'!$D$2,D24&lt;='기준표'!$F$2),"통과","불합격: 스크래치등급 "&amp;D24&amp;" (허용 "&amp;'기준표'!$D$2&amp;"~"&amp;'기준표'!$F$2&amp;")"))</x:f>
        <x:v>통과</x:v>
      </x:c>
      <x:c r="V24" s="2" t="str">
        <x:f>IF(NOT(ISNUMBER(E24)),"판정불가: 기포이물질개수 누락",IF(AND(E24&gt;='기준표'!$D$3,E24&lt;='기준표'!$F$3),"통과","불합격: 기포이물질개수 "&amp;E24&amp;" (허용 "&amp;'기준표'!$D$3&amp;"~"&amp;'기준표'!$F$3&amp;")"))</x:f>
        <x:v>통과</x:v>
      </x:c>
      <x:c r="W24" s="2" t="str">
        <x:f>IF(NOT(ISNUMBER(F24)),"판정불가: 코팅불량개수 누락",IF(AND(F24&gt;='기준표'!$D$4,F24&lt;='기준표'!$F$4),"통과","불합격: 코팅불량개수 "&amp;F24&amp;" (허용 "&amp;'기준표'!$D$4&amp;"~"&amp;'기준표'!$F$4&amp;")"))</x:f>
        <x:v>통과</x:v>
      </x:c>
      <x:c r="X24" s="2" t="str">
        <x:f>IF(NOT(ISNUMBER(H24)),"판정불가: 광투과율 누락",IF(AND(H24&gt;='기준표'!$D$5,H24&lt;='기준표'!$F$5),"통과","불합격: 광투과율 "&amp;H24&amp;" (허용 "&amp;'기준표'!$D$5&amp;"~"&amp;'기준표'!$F$5&amp;")"))</x:f>
        <x:v>통과</x:v>
      </x:c>
      <x:c r="Y24" s="2" t="str">
        <x:f>IF(NOT(ISNUMBER(I24)),"판정불가: 왜곡률 누락",IF(AND(I24&gt;='기준표'!$D$6,I24&lt;='기준표'!$F$6),"통과","불합격: 왜곡률 "&amp;I24&amp;" (허용 "&amp;'기준표'!$D$6&amp;"~"&amp;'기준표'!$F$6&amp;")"))</x:f>
        <x:v>통과</x:v>
      </x:c>
      <x:c r="Z24" s="2" t="str">
        <x:f>IF(NOT(ISNUMBER(J24)),"판정불가: 렌즈직경 누락",IF(AND(J24&gt;='기준표'!$D$7,J24&lt;='기준표'!$F$7),"통과","불합격: 렌즈직경 "&amp;J24&amp;" (허용 "&amp;'기준표'!$D$7&amp;"~"&amp;'기준표'!$F$7&amp;")"))</x:f>
        <x:v>통과</x:v>
      </x:c>
      <x:c r="AA24" s="2" t="str">
        <x:f>IF(NOT(ISNUMBER(K24)),"판정불가: 중심두께 누락",IF(AND(K24&gt;='기준표'!$D$8,K24&lt;='기준표'!$F$8),"통과","불합격: 중심두께 "&amp;K24&amp;" (허용 "&amp;'기준표'!$D$8&amp;"~"&amp;'기준표'!$F$8&amp;")"))</x:f>
        <x:v>통과</x:v>
      </x:c>
      <x:c r="AB24" s="2" t="str">
        <x:f>IF(NOT(ISNUMBER(L24)),"판정불가: 가장자리두께 누락",IF(AND(L24&gt;='기준표'!$D$9,L24&lt;='기준표'!$F$9),"통과","불합격: 가장자리두께 "&amp;L24&amp;" (허용 "&amp;'기준표'!$D$9&amp;"~"&amp;'기준표'!$F$9&amp;")"))</x:f>
        <x:v>통과</x:v>
      </x:c>
      <x:c r="AC24" s="2" t="str">
        <x:f>IF(NOT(ISNUMBER(M24)),"판정불가: 곡률반경 누락",IF(AND(M24&gt;='기준표'!$D$10,M24&lt;='기준표'!$F$10),"통과","불합격: 곡률반경 "&amp;M24&amp;" (허용 "&amp;'기준표'!$D$10&amp;"~"&amp;'기준표'!$F$10&amp;")"))</x:f>
        <x:v>통과</x:v>
      </x:c>
      <x:c r="AD24" s="2" t="str">
        <x:f>IF(NOT(ISNUMBER(N24)),"판정불가: UV차단율 누락",IF(AND(N24&gt;='기준표'!$D$11,N24&lt;='기준표'!$F$11),"통과","불합격: UV차단율 "&amp;N24&amp;" (허용 "&amp;'기준표'!$D$11&amp;"~"&amp;'기준표'!$F$11&amp;")"))</x:f>
        <x:v>통과</x:v>
      </x:c>
      <x:c r="AE24" s="2" t="str">
        <x:f>IF(NOT(ISNUMBER(O24)),"판정불가: 색상균일도 누락",IF(AND(O24&gt;='기준표'!$D$12,O24&lt;='기준표'!$F$12),"통과","불합격: 색상균일도 "&amp;O24&amp;" (허용 "&amp;'기준표'!$D$12&amp;"~"&amp;'기준표'!$F$12&amp;")"))</x:f>
        <x:v>통과</x:v>
      </x:c>
      <x:c r="AF24" s="2" t="str">
        <x:f>IF(NOT(ISNUMBER(P24)),"판정불가: 틴트농도 누락",IF(AND(P24&gt;='기준표'!$D$13,P24&lt;='기준표'!$F$13),"통과","불합격: 틴트농도 "&amp;P24&amp;" (허용 "&amp;'기준표'!$D$13&amp;"~"&amp;'기준표'!$F$13&amp;")"))</x:f>
        <x:v>통과</x:v>
      </x:c>
      <x:c r="AG24" s="2" t="str">
        <x:f>IF(IF(B24="CR-39",14,IF(B24="폴리카보네이트",15,IF(B24="하이인덱스",16,0)))=0,"판정불가: 소재 기준 없음",IF(NOT(ISNUMBER(G24)),"판정불가: 굴절률 누락",IF(AND(G24&gt;=INDEX('기준표'!$D$1:$D$16,IF(B24="CR-39",14,IF(B24="폴리카보네이트",15,IF(B24="하이인덱스",16,0)))),G24&lt;=INDEX('기준표'!$F$1:$F$16,IF(B24="CR-39",14,IF(B24="폴리카보네이트",15,IF(B24="하이인덱스",16,0))))),"통과","불합격: 굴절률 "&amp;G24&amp;" (허용 "&amp;INDEX('기준표'!$D$1:$D$16,IF(B24="CR-39",14,IF(B24="폴리카보네이트",15,IF(B24="하이인덱스",16,0))))&amp;"~"&amp;INDEX('기준표'!$F$1:$F$16,IF(B24="CR-39",14,IF(B24="폴리카보네이트",15,IF(B24="하이인덱스",16,0))))&amp;")")))</x:f>
        <x:v>통과</x:v>
      </x:c>
    </x:row>
    <x:row r="25" ht="76" customHeight="1">
      <x:c r="A25" s="2" t="str">
        <x:v>L024</x:v>
      </x:c>
      <x:c r="B25" s="10" t="str">
        <x:v>폴리카보네이트</x:v>
      </x:c>
      <x:c r="C25" s="10" t="str">
        <x:v>선샤인가드 블루라이트컷 023</x:v>
      </x:c>
      <x:c r="D25" s="7" t="n">
        <x:v>2</x:v>
      </x:c>
      <x:c r="E25" s="7" t="n">
        <x:v>0</x:v>
      </x:c>
      <x:c r="F25" s="7" t="n">
        <x:v>0</x:v>
      </x:c>
      <x:c r="G25" s="7" t="n">
        <x:v>1.585</x:v>
      </x:c>
      <x:c r="H25" s="7" t="n">
        <x:v>98.2</x:v>
      </x:c>
      <x:c r="I25" s="7" t="n">
        <x:v>1.8</x:v>
      </x:c>
      <x:c r="J25" s="7" t="n">
        <x:v>70.65</x:v>
      </x:c>
      <x:c r="K25" s="7" t="n">
        <x:v>1.99</x:v>
      </x:c>
      <x:c r="L25" s="7" t="n">
        <x:v>1.32</x:v>
      </x:c>
      <x:c r="M25" s="7" t="n">
        <x:v>86.9</x:v>
      </x:c>
      <x:c r="N25" s="7" t="n">
        <x:v>99.3</x:v>
      </x:c>
      <x:c r="O25" s="7" t="n">
        <x:v>0.67</x:v>
      </x:c>
      <x:c r="P25" s="7" t="n">
        <x:v>18.8</x:v>
      </x:c>
      <x:c r="Q25" s="2" t="str">
        <x:f>IF(OR(LEFT(U25,3)="불합격",LEFT(V25,3)="불합격",LEFT(W25,3)="불합격",LEFT(X25,3)="불합격",LEFT(Y25,3)="불합격",LEFT(Z25,3)="불합격",LEFT(AA25,3)="불합격",LEFT(AB25,3)="불합격",LEFT(AC25,3)="불합격",LEFT(AD25,3)="불합격",LEFT(AE25,3)="불합격",LEFT(AF25,3)="불합격",LEFT(AG25,3)="불합격"),"불합격",IF(AND(U25="통과",V25="통과",W25="통과",X25="통과",Y25="통과",Z25="통과",AA25="통과",AB25="통과",AC25="통과",AD25="통과",AE25="통과",AF25="통과",AG25="통과"),"합격","판정불가"))</x:f>
        <x:v>합격</x:v>
      </x:c>
      <x:c r="R25" s="9" t="str">
        <x:f>IF(Q25="합격","13개 항목 모두 허용범위 이내",IF(U25="통과","",U25&amp;CHAR(10))&amp;IF(V25="통과","",V25&amp;CHAR(10))&amp;IF(W25="통과","",W25&amp;CHAR(10))&amp;IF(X25="통과","",X25&amp;CHAR(10))&amp;IF(Y25="통과","",Y25&amp;CHAR(10))&amp;IF(Z25="통과","",Z25&amp;CHAR(10))&amp;IF(AA25="통과","",AA25&amp;CHAR(10))&amp;IF(AB25="통과","",AB25&amp;CHAR(10))&amp;IF(AC25="통과","",AC25&amp;CHAR(10))&amp;IF(AD25="통과","",AD25&amp;CHAR(10))&amp;IF(AE25="통과","",AE25&amp;CHAR(10))&amp;IF(AF25="통과","",AF25&amp;CHAR(10))&amp;IF(AG25="통과","",AG25&amp;CHAR(10)))</x:f>
        <x:v>13개 항목 모두 허용범위 이내</x:v>
      </x:c>
      <x:c r="S25" s="2" t="str">
        <x:v>합격</x:v>
      </x:c>
      <x:c r="T25" s="9"/>
      <x:c r="U25" s="2" t="str">
        <x:f>IF(NOT(ISNUMBER(D25)),"판정불가: 스크래치등급 누락",IF(AND(D25&gt;='기준표'!$D$2,D25&lt;='기준표'!$F$2),"통과","불합격: 스크래치등급 "&amp;D25&amp;" (허용 "&amp;'기준표'!$D$2&amp;"~"&amp;'기준표'!$F$2&amp;")"))</x:f>
        <x:v>통과</x:v>
      </x:c>
      <x:c r="V25" s="2" t="str">
        <x:f>IF(NOT(ISNUMBER(E25)),"판정불가: 기포이물질개수 누락",IF(AND(E25&gt;='기준표'!$D$3,E25&lt;='기준표'!$F$3),"통과","불합격: 기포이물질개수 "&amp;E25&amp;" (허용 "&amp;'기준표'!$D$3&amp;"~"&amp;'기준표'!$F$3&amp;")"))</x:f>
        <x:v>통과</x:v>
      </x:c>
      <x:c r="W25" s="2" t="str">
        <x:f>IF(NOT(ISNUMBER(F25)),"판정불가: 코팅불량개수 누락",IF(AND(F25&gt;='기준표'!$D$4,F25&lt;='기준표'!$F$4),"통과","불합격: 코팅불량개수 "&amp;F25&amp;" (허용 "&amp;'기준표'!$D$4&amp;"~"&amp;'기준표'!$F$4&amp;")"))</x:f>
        <x:v>통과</x:v>
      </x:c>
      <x:c r="X25" s="2" t="str">
        <x:f>IF(NOT(ISNUMBER(H25)),"판정불가: 광투과율 누락",IF(AND(H25&gt;='기준표'!$D$5,H25&lt;='기준표'!$F$5),"통과","불합격: 광투과율 "&amp;H25&amp;" (허용 "&amp;'기준표'!$D$5&amp;"~"&amp;'기준표'!$F$5&amp;")"))</x:f>
        <x:v>통과</x:v>
      </x:c>
      <x:c r="Y25" s="2" t="str">
        <x:f>IF(NOT(ISNUMBER(I25)),"판정불가: 왜곡률 누락",IF(AND(I25&gt;='기준표'!$D$6,I25&lt;='기준표'!$F$6),"통과","불합격: 왜곡률 "&amp;I25&amp;" (허용 "&amp;'기준표'!$D$6&amp;"~"&amp;'기준표'!$F$6&amp;")"))</x:f>
        <x:v>통과</x:v>
      </x:c>
      <x:c r="Z25" s="2" t="str">
        <x:f>IF(NOT(ISNUMBER(J25)),"판정불가: 렌즈직경 누락",IF(AND(J25&gt;='기준표'!$D$7,J25&lt;='기준표'!$F$7),"통과","불합격: 렌즈직경 "&amp;J25&amp;" (허용 "&amp;'기준표'!$D$7&amp;"~"&amp;'기준표'!$F$7&amp;")"))</x:f>
        <x:v>통과</x:v>
      </x:c>
      <x:c r="AA25" s="2" t="str">
        <x:f>IF(NOT(ISNUMBER(K25)),"판정불가: 중심두께 누락",IF(AND(K25&gt;='기준표'!$D$8,K25&lt;='기준표'!$F$8),"통과","불합격: 중심두께 "&amp;K25&amp;" (허용 "&amp;'기준표'!$D$8&amp;"~"&amp;'기준표'!$F$8&amp;")"))</x:f>
        <x:v>통과</x:v>
      </x:c>
      <x:c r="AB25" s="2" t="str">
        <x:f>IF(NOT(ISNUMBER(L25)),"판정불가: 가장자리두께 누락",IF(AND(L25&gt;='기준표'!$D$9,L25&lt;='기준표'!$F$9),"통과","불합격: 가장자리두께 "&amp;L25&amp;" (허용 "&amp;'기준표'!$D$9&amp;"~"&amp;'기준표'!$F$9&amp;")"))</x:f>
        <x:v>통과</x:v>
      </x:c>
      <x:c r="AC25" s="2" t="str">
        <x:f>IF(NOT(ISNUMBER(M25)),"판정불가: 곡률반경 누락",IF(AND(M25&gt;='기준표'!$D$10,M25&lt;='기준표'!$F$10),"통과","불합격: 곡률반경 "&amp;M25&amp;" (허용 "&amp;'기준표'!$D$10&amp;"~"&amp;'기준표'!$F$10&amp;")"))</x:f>
        <x:v>통과</x:v>
      </x:c>
      <x:c r="AD25" s="2" t="str">
        <x:f>IF(NOT(ISNUMBER(N25)),"판정불가: UV차단율 누락",IF(AND(N25&gt;='기준표'!$D$11,N25&lt;='기준표'!$F$11),"통과","불합격: UV차단율 "&amp;N25&amp;" (허용 "&amp;'기준표'!$D$11&amp;"~"&amp;'기준표'!$F$11&amp;")"))</x:f>
        <x:v>통과</x:v>
      </x:c>
      <x:c r="AE25" s="2" t="str">
        <x:f>IF(NOT(ISNUMBER(O25)),"판정불가: 색상균일도 누락",IF(AND(O25&gt;='기준표'!$D$12,O25&lt;='기준표'!$F$12),"통과","불합격: 색상균일도 "&amp;O25&amp;" (허용 "&amp;'기준표'!$D$12&amp;"~"&amp;'기준표'!$F$12&amp;")"))</x:f>
        <x:v>통과</x:v>
      </x:c>
      <x:c r="AF25" s="2" t="str">
        <x:f>IF(NOT(ISNUMBER(P25)),"판정불가: 틴트농도 누락",IF(AND(P25&gt;='기준표'!$D$13,P25&lt;='기준표'!$F$13),"통과","불합격: 틴트농도 "&amp;P25&amp;" (허용 "&amp;'기준표'!$D$13&amp;"~"&amp;'기준표'!$F$13&amp;")"))</x:f>
        <x:v>통과</x:v>
      </x:c>
      <x:c r="AG25" s="2" t="str">
        <x:f>IF(IF(B25="CR-39",14,IF(B25="폴리카보네이트",15,IF(B25="하이인덱스",16,0)))=0,"판정불가: 소재 기준 없음",IF(NOT(ISNUMBER(G25)),"판정불가: 굴절률 누락",IF(AND(G25&gt;=INDEX('기준표'!$D$1:$D$16,IF(B25="CR-39",14,IF(B25="폴리카보네이트",15,IF(B25="하이인덱스",16,0)))),G25&lt;=INDEX('기준표'!$F$1:$F$16,IF(B25="CR-39",14,IF(B25="폴리카보네이트",15,IF(B25="하이인덱스",16,0))))),"통과","불합격: 굴절률 "&amp;G25&amp;" (허용 "&amp;INDEX('기준표'!$D$1:$D$16,IF(B25="CR-39",14,IF(B25="폴리카보네이트",15,IF(B25="하이인덱스",16,0))))&amp;"~"&amp;INDEX('기준표'!$F$1:$F$16,IF(B25="CR-39",14,IF(B25="폴리카보네이트",15,IF(B25="하이인덱스",16,0))))&amp;")")))</x:f>
        <x:v>통과</x:v>
      </x:c>
    </x:row>
    <x:row r="26" ht="76" customHeight="1">
      <x:c r="A26" s="2" t="str">
        <x:v>L025</x:v>
      </x:c>
      <x:c r="B26" s="10" t="str">
        <x:v>폴리카보네이트</x:v>
      </x:c>
      <x:c r="C26" s="10" t="str">
        <x:v>선샤인가드 프리미엄 008</x:v>
      </x:c>
      <x:c r="D26" s="7" t="n">
        <x:v>2</x:v>
      </x:c>
      <x:c r="E26" s="7" t="n">
        <x:v>1</x:v>
      </x:c>
      <x:c r="F26" s="7" t="n">
        <x:v>1</x:v>
      </x:c>
      <x:c r="G26" s="7" t="n">
        <x:v>1.585</x:v>
      </x:c>
      <x:c r="H26" s="7" t="n">
        <x:v>89</x:v>
      </x:c>
      <x:c r="I26" s="7" t="n">
        <x:v>0.7</x:v>
      </x:c>
      <x:c r="J26" s="7" t="n">
        <x:v>73.41</x:v>
      </x:c>
      <x:c r="K26" s="7" t="n">
        <x:v>2.06</x:v>
      </x:c>
      <x:c r="L26" s="7" t="n">
        <x:v>1.95</x:v>
      </x:c>
      <x:c r="M26" s="7" t="n">
        <x:v>79.2</x:v>
      </x:c>
      <x:c r="N26" s="7" t="n">
        <x:v>99.5</x:v>
      </x:c>
      <x:c r="O26" s="7" t="n">
        <x:v>1.03</x:v>
      </x:c>
      <x:c r="P26" s="7" t="n">
        <x:v>19.1</x:v>
      </x:c>
      <x:c r="Q26" s="2" t="str">
        <x:f>IF(OR(LEFT(U26,3)="불합격",LEFT(V26,3)="불합격",LEFT(W26,3)="불합격",LEFT(X26,3)="불합격",LEFT(Y26,3)="불합격",LEFT(Z26,3)="불합격",LEFT(AA26,3)="불합격",LEFT(AB26,3)="불합격",LEFT(AC26,3)="불합격",LEFT(AD26,3)="불합격",LEFT(AE26,3)="불합격",LEFT(AF26,3)="불합격",LEFT(AG26,3)="불합격"),"불합격",IF(AND(U26="통과",V26="통과",W26="통과",X26="통과",Y26="통과",Z26="통과",AA26="통과",AB26="통과",AC26="통과",AD26="통과",AE26="통과",AF26="통과",AG26="통과"),"합격","판정불가"))</x:f>
        <x:v>합격</x:v>
      </x:c>
      <x:c r="R26" s="9" t="str">
        <x:f>IF(Q26="합격","13개 항목 모두 허용범위 이내",IF(U26="통과","",U26&amp;CHAR(10))&amp;IF(V26="통과","",V26&amp;CHAR(10))&amp;IF(W26="통과","",W26&amp;CHAR(10))&amp;IF(X26="통과","",X26&amp;CHAR(10))&amp;IF(Y26="통과","",Y26&amp;CHAR(10))&amp;IF(Z26="통과","",Z26&amp;CHAR(10))&amp;IF(AA26="통과","",AA26&amp;CHAR(10))&amp;IF(AB26="통과","",AB26&amp;CHAR(10))&amp;IF(AC26="통과","",AC26&amp;CHAR(10))&amp;IF(AD26="통과","",AD26&amp;CHAR(10))&amp;IF(AE26="통과","",AE26&amp;CHAR(10))&amp;IF(AF26="통과","",AF26&amp;CHAR(10))&amp;IF(AG26="통과","",AG26&amp;CHAR(10)))</x:f>
        <x:v>13개 항목 모두 허용범위 이내</x:v>
      </x:c>
      <x:c r="S26" s="2" t="str">
        <x:v>합격</x:v>
      </x:c>
      <x:c r="T26" s="9"/>
      <x:c r="U26" s="2" t="str">
        <x:f>IF(NOT(ISNUMBER(D26)),"판정불가: 스크래치등급 누락",IF(AND(D26&gt;='기준표'!$D$2,D26&lt;='기준표'!$F$2),"통과","불합격: 스크래치등급 "&amp;D26&amp;" (허용 "&amp;'기준표'!$D$2&amp;"~"&amp;'기준표'!$F$2&amp;")"))</x:f>
        <x:v>통과</x:v>
      </x:c>
      <x:c r="V26" s="2" t="str">
        <x:f>IF(NOT(ISNUMBER(E26)),"판정불가: 기포이물질개수 누락",IF(AND(E26&gt;='기준표'!$D$3,E26&lt;='기준표'!$F$3),"통과","불합격: 기포이물질개수 "&amp;E26&amp;" (허용 "&amp;'기준표'!$D$3&amp;"~"&amp;'기준표'!$F$3&amp;")"))</x:f>
        <x:v>통과</x:v>
      </x:c>
      <x:c r="W26" s="2" t="str">
        <x:f>IF(NOT(ISNUMBER(F26)),"판정불가: 코팅불량개수 누락",IF(AND(F26&gt;='기준표'!$D$4,F26&lt;='기준표'!$F$4),"통과","불합격: 코팅불량개수 "&amp;F26&amp;" (허용 "&amp;'기준표'!$D$4&amp;"~"&amp;'기준표'!$F$4&amp;")"))</x:f>
        <x:v>통과</x:v>
      </x:c>
      <x:c r="X26" s="2" t="str">
        <x:f>IF(NOT(ISNUMBER(H26)),"판정불가: 광투과율 누락",IF(AND(H26&gt;='기준표'!$D$5,H26&lt;='기준표'!$F$5),"통과","불합격: 광투과율 "&amp;H26&amp;" (허용 "&amp;'기준표'!$D$5&amp;"~"&amp;'기준표'!$F$5&amp;")"))</x:f>
        <x:v>통과</x:v>
      </x:c>
      <x:c r="Y26" s="2" t="str">
        <x:f>IF(NOT(ISNUMBER(I26)),"판정불가: 왜곡률 누락",IF(AND(I26&gt;='기준표'!$D$6,I26&lt;='기준표'!$F$6),"통과","불합격: 왜곡률 "&amp;I26&amp;" (허용 "&amp;'기준표'!$D$6&amp;"~"&amp;'기준표'!$F$6&amp;")"))</x:f>
        <x:v>통과</x:v>
      </x:c>
      <x:c r="Z26" s="2" t="str">
        <x:f>IF(NOT(ISNUMBER(J26)),"판정불가: 렌즈직경 누락",IF(AND(J26&gt;='기준표'!$D$7,J26&lt;='기준표'!$F$7),"통과","불합격: 렌즈직경 "&amp;J26&amp;" (허용 "&amp;'기준표'!$D$7&amp;"~"&amp;'기준표'!$F$7&amp;")"))</x:f>
        <x:v>통과</x:v>
      </x:c>
      <x:c r="AA26" s="2" t="str">
        <x:f>IF(NOT(ISNUMBER(K26)),"판정불가: 중심두께 누락",IF(AND(K26&gt;='기준표'!$D$8,K26&lt;='기준표'!$F$8),"통과","불합격: 중심두께 "&amp;K26&amp;" (허용 "&amp;'기준표'!$D$8&amp;"~"&amp;'기준표'!$F$8&amp;")"))</x:f>
        <x:v>통과</x:v>
      </x:c>
      <x:c r="AB26" s="2" t="str">
        <x:f>IF(NOT(ISNUMBER(L26)),"판정불가: 가장자리두께 누락",IF(AND(L26&gt;='기준표'!$D$9,L26&lt;='기준표'!$F$9),"통과","불합격: 가장자리두께 "&amp;L26&amp;" (허용 "&amp;'기준표'!$D$9&amp;"~"&amp;'기준표'!$F$9&amp;")"))</x:f>
        <x:v>통과</x:v>
      </x:c>
      <x:c r="AC26" s="2" t="str">
        <x:f>IF(NOT(ISNUMBER(M26)),"판정불가: 곡률반경 누락",IF(AND(M26&gt;='기준표'!$D$10,M26&lt;='기준표'!$F$10),"통과","불합격: 곡률반경 "&amp;M26&amp;" (허용 "&amp;'기준표'!$D$10&amp;"~"&amp;'기준표'!$F$10&amp;")"))</x:f>
        <x:v>통과</x:v>
      </x:c>
      <x:c r="AD26" s="2" t="str">
        <x:f>IF(NOT(ISNUMBER(N26)),"판정불가: UV차단율 누락",IF(AND(N26&gt;='기준표'!$D$11,N26&lt;='기준표'!$F$11),"통과","불합격: UV차단율 "&amp;N26&amp;" (허용 "&amp;'기준표'!$D$11&amp;"~"&amp;'기준표'!$F$11&amp;")"))</x:f>
        <x:v>통과</x:v>
      </x:c>
      <x:c r="AE26" s="2" t="str">
        <x:f>IF(NOT(ISNUMBER(O26)),"판정불가: 색상균일도 누락",IF(AND(O26&gt;='기준표'!$D$12,O26&lt;='기준표'!$F$12),"통과","불합격: 색상균일도 "&amp;O26&amp;" (허용 "&amp;'기준표'!$D$12&amp;"~"&amp;'기준표'!$F$12&amp;")"))</x:f>
        <x:v>통과</x:v>
      </x:c>
      <x:c r="AF26" s="2" t="str">
        <x:f>IF(NOT(ISNUMBER(P26)),"판정불가: 틴트농도 누락",IF(AND(P26&gt;='기준표'!$D$13,P26&lt;='기준표'!$F$13),"통과","불합격: 틴트농도 "&amp;P26&amp;" (허용 "&amp;'기준표'!$D$13&amp;"~"&amp;'기준표'!$F$13&amp;")"))</x:f>
        <x:v>통과</x:v>
      </x:c>
      <x:c r="AG26" s="2" t="str">
        <x:f>IF(IF(B26="CR-39",14,IF(B26="폴리카보네이트",15,IF(B26="하이인덱스",16,0)))=0,"판정불가: 소재 기준 없음",IF(NOT(ISNUMBER(G26)),"판정불가: 굴절률 누락",IF(AND(G26&gt;=INDEX('기준표'!$D$1:$D$16,IF(B26="CR-39",14,IF(B26="폴리카보네이트",15,IF(B26="하이인덱스",16,0)))),G26&lt;=INDEX('기준표'!$F$1:$F$16,IF(B26="CR-39",14,IF(B26="폴리카보네이트",15,IF(B26="하이인덱스",16,0))))),"통과","불합격: 굴절률 "&amp;G26&amp;" (허용 "&amp;INDEX('기준표'!$D$1:$D$16,IF(B26="CR-39",14,IF(B26="폴리카보네이트",15,IF(B26="하이인덱스",16,0))))&amp;"~"&amp;INDEX('기준표'!$F$1:$F$16,IF(B26="CR-39",14,IF(B26="폴리카보네이트",15,IF(B26="하이인덱스",16,0))))&amp;")")))</x:f>
        <x:v>통과</x:v>
      </x:c>
    </x:row>
    <x:row r="27" ht="76" customHeight="1">
      <x:c r="A27" s="2" t="str">
        <x:v>L026</x:v>
      </x:c>
      <x:c r="B27" s="10" t="str">
        <x:v>폴리카보네이트</x:v>
      </x:c>
      <x:c r="C27" s="10" t="str">
        <x:v>스카이비전 프리미엄 011</x:v>
      </x:c>
      <x:c r="D27" s="7" t="n">
        <x:v>1</x:v>
      </x:c>
      <x:c r="E27" s="7" t="n">
        <x:v>0</x:v>
      </x:c>
      <x:c r="F27" s="7" t="n">
        <x:v>0</x:v>
      </x:c>
      <x:c r="G27" s="7" t="n">
        <x:v>1.588</x:v>
      </x:c>
      <x:c r="H27" s="7" t="n">
        <x:v>88.7</x:v>
      </x:c>
      <x:c r="I27" s="7" t="n">
        <x:v>1.1</x:v>
      </x:c>
      <x:c r="J27" s="7" t="n">
        <x:v>74.02</x:v>
      </x:c>
      <x:c r="K27" s="7" t="n">
        <x:v>2.08</x:v>
      </x:c>
      <x:c r="L27" s="7" t="n">
        <x:v>1.34</x:v>
      </x:c>
      <x:c r="M27" s="7" t="n">
        <x:v>84.1</x:v>
      </x:c>
      <x:c r="N27" s="7" t="n">
        <x:v>99.6</x:v>
      </x:c>
      <x:c r="O27" s="7" t="n">
        <x:v>0.66</x:v>
      </x:c>
      <x:c r="P27" s="7" t="n">
        <x:v>17.9</x:v>
      </x:c>
      <x:c r="Q27" s="2" t="str">
        <x:f>IF(OR(LEFT(U27,3)="불합격",LEFT(V27,3)="불합격",LEFT(W27,3)="불합격",LEFT(X27,3)="불합격",LEFT(Y27,3)="불합격",LEFT(Z27,3)="불합격",LEFT(AA27,3)="불합격",LEFT(AB27,3)="불합격",LEFT(AC27,3)="불합격",LEFT(AD27,3)="불합격",LEFT(AE27,3)="불합격",LEFT(AF27,3)="불합격",LEFT(AG27,3)="불합격"),"불합격",IF(AND(U27="통과",V27="통과",W27="통과",X27="통과",Y27="통과",Z27="통과",AA27="통과",AB27="통과",AC27="통과",AD27="통과",AE27="통과",AF27="통과",AG27="통과"),"합격","판정불가"))</x:f>
        <x:v>불합격</x:v>
      </x:c>
      <x:c r="R27" s="9" t="str">
        <x:f>IF(Q27="합격","13개 항목 모두 허용범위 이내",IF(U27="통과","",U27&amp;CHAR(10))&amp;IF(V27="통과","",V27&amp;CHAR(10))&amp;IF(W27="통과","",W27&amp;CHAR(10))&amp;IF(X27="통과","",X27&amp;CHAR(10))&amp;IF(Y27="통과","",Y27&amp;CHAR(10))&amp;IF(Z27="통과","",Z27&amp;CHAR(10))&amp;IF(AA27="통과","",AA27&amp;CHAR(10))&amp;IF(AB27="통과","",AB27&amp;CHAR(10))&amp;IF(AC27="통과","",AC27&amp;CHAR(10))&amp;IF(AD27="통과","",AD27&amp;CHAR(10))&amp;IF(AE27="통과","",AE27&amp;CHAR(10))&amp;IF(AF27="통과","",AF27&amp;CHAR(10))&amp;IF(AG27="통과","",AG27&amp;CHAR(10)))</x:f>
        <x:v>불합격: 렌즈직경 74.02 (허용 70~74)
</x:v>
      </x:c>
      <x:c r="S27" s="2" t="str">
        <x:v>합격</x:v>
      </x:c>
      <x:c r="T27" s="9"/>
      <x:c r="U27" s="2" t="str">
        <x:f>IF(NOT(ISNUMBER(D27)),"판정불가: 스크래치등급 누락",IF(AND(D27&gt;='기준표'!$D$2,D27&lt;='기준표'!$F$2),"통과","불합격: 스크래치등급 "&amp;D27&amp;" (허용 "&amp;'기준표'!$D$2&amp;"~"&amp;'기준표'!$F$2&amp;")"))</x:f>
        <x:v>통과</x:v>
      </x:c>
      <x:c r="V27" s="2" t="str">
        <x:f>IF(NOT(ISNUMBER(E27)),"판정불가: 기포이물질개수 누락",IF(AND(E27&gt;='기준표'!$D$3,E27&lt;='기준표'!$F$3),"통과","불합격: 기포이물질개수 "&amp;E27&amp;" (허용 "&amp;'기준표'!$D$3&amp;"~"&amp;'기준표'!$F$3&amp;")"))</x:f>
        <x:v>통과</x:v>
      </x:c>
      <x:c r="W27" s="2" t="str">
        <x:f>IF(NOT(ISNUMBER(F27)),"판정불가: 코팅불량개수 누락",IF(AND(F27&gt;='기준표'!$D$4,F27&lt;='기준표'!$F$4),"통과","불합격: 코팅불량개수 "&amp;F27&amp;" (허용 "&amp;'기준표'!$D$4&amp;"~"&amp;'기준표'!$F$4&amp;")"))</x:f>
        <x:v>통과</x:v>
      </x:c>
      <x:c r="X27" s="2" t="str">
        <x:f>IF(NOT(ISNUMBER(H27)),"판정불가: 광투과율 누락",IF(AND(H27&gt;='기준표'!$D$5,H27&lt;='기준표'!$F$5),"통과","불합격: 광투과율 "&amp;H27&amp;" (허용 "&amp;'기준표'!$D$5&amp;"~"&amp;'기준표'!$F$5&amp;")"))</x:f>
        <x:v>통과</x:v>
      </x:c>
      <x:c r="Y27" s="2" t="str">
        <x:f>IF(NOT(ISNUMBER(I27)),"판정불가: 왜곡률 누락",IF(AND(I27&gt;='기준표'!$D$6,I27&lt;='기준표'!$F$6),"통과","불합격: 왜곡률 "&amp;I27&amp;" (허용 "&amp;'기준표'!$D$6&amp;"~"&amp;'기준표'!$F$6&amp;")"))</x:f>
        <x:v>통과</x:v>
      </x:c>
      <x:c r="Z27" s="2" t="str">
        <x:f>IF(NOT(ISNUMBER(J27)),"판정불가: 렌즈직경 누락",IF(AND(J27&gt;='기준표'!$D$7,J27&lt;='기준표'!$F$7),"통과","불합격: 렌즈직경 "&amp;J27&amp;" (허용 "&amp;'기준표'!$D$7&amp;"~"&amp;'기준표'!$F$7&amp;")"))</x:f>
        <x:v>불합격: 렌즈직경 74.02 (허용 70~74)</x:v>
      </x:c>
      <x:c r="AA27" s="2" t="str">
        <x:f>IF(NOT(ISNUMBER(K27)),"판정불가: 중심두께 누락",IF(AND(K27&gt;='기준표'!$D$8,K27&lt;='기준표'!$F$8),"통과","불합격: 중심두께 "&amp;K27&amp;" (허용 "&amp;'기준표'!$D$8&amp;"~"&amp;'기준표'!$F$8&amp;")"))</x:f>
        <x:v>통과</x:v>
      </x:c>
      <x:c r="AB27" s="2" t="str">
        <x:f>IF(NOT(ISNUMBER(L27)),"판정불가: 가장자리두께 누락",IF(AND(L27&gt;='기준표'!$D$9,L27&lt;='기준표'!$F$9),"통과","불합격: 가장자리두께 "&amp;L27&amp;" (허용 "&amp;'기준표'!$D$9&amp;"~"&amp;'기준표'!$F$9&amp;")"))</x:f>
        <x:v>통과</x:v>
      </x:c>
      <x:c r="AC27" s="2" t="str">
        <x:f>IF(NOT(ISNUMBER(M27)),"판정불가: 곡률반경 누락",IF(AND(M27&gt;='기준표'!$D$10,M27&lt;='기준표'!$F$10),"통과","불합격: 곡률반경 "&amp;M27&amp;" (허용 "&amp;'기준표'!$D$10&amp;"~"&amp;'기준표'!$F$10&amp;")"))</x:f>
        <x:v>통과</x:v>
      </x:c>
      <x:c r="AD27" s="2" t="str">
        <x:f>IF(NOT(ISNUMBER(N27)),"판정불가: UV차단율 누락",IF(AND(N27&gt;='기준표'!$D$11,N27&lt;='기준표'!$F$11),"통과","불합격: UV차단율 "&amp;N27&amp;" (허용 "&amp;'기준표'!$D$11&amp;"~"&amp;'기준표'!$F$11&amp;")"))</x:f>
        <x:v>통과</x:v>
      </x:c>
      <x:c r="AE27" s="2" t="str">
        <x:f>IF(NOT(ISNUMBER(O27)),"판정불가: 색상균일도 누락",IF(AND(O27&gt;='기준표'!$D$12,O27&lt;='기준표'!$F$12),"통과","불합격: 색상균일도 "&amp;O27&amp;" (허용 "&amp;'기준표'!$D$12&amp;"~"&amp;'기준표'!$F$12&amp;")"))</x:f>
        <x:v>통과</x:v>
      </x:c>
      <x:c r="AF27" s="2" t="str">
        <x:f>IF(NOT(ISNUMBER(P27)),"판정불가: 틴트농도 누락",IF(AND(P27&gt;='기준표'!$D$13,P27&lt;='기준표'!$F$13),"통과","불합격: 틴트농도 "&amp;P27&amp;" (허용 "&amp;'기준표'!$D$13&amp;"~"&amp;'기준표'!$F$13&amp;")"))</x:f>
        <x:v>통과</x:v>
      </x:c>
      <x:c r="AG27" s="2" t="str">
        <x:f>IF(IF(B27="CR-39",14,IF(B27="폴리카보네이트",15,IF(B27="하이인덱스",16,0)))=0,"판정불가: 소재 기준 없음",IF(NOT(ISNUMBER(G27)),"판정불가: 굴절률 누락",IF(AND(G27&gt;=INDEX('기준표'!$D$1:$D$16,IF(B27="CR-39",14,IF(B27="폴리카보네이트",15,IF(B27="하이인덱스",16,0)))),G27&lt;=INDEX('기준표'!$F$1:$F$16,IF(B27="CR-39",14,IF(B27="폴리카보네이트",15,IF(B27="하이인덱스",16,0))))),"통과","불합격: 굴절률 "&amp;G27&amp;" (허용 "&amp;INDEX('기준표'!$D$1:$D$16,IF(B27="CR-39",14,IF(B27="폴리카보네이트",15,IF(B27="하이인덱스",16,0))))&amp;"~"&amp;INDEX('기준표'!$F$1:$F$16,IF(B27="CR-39",14,IF(B27="폴리카보네이트",15,IF(B27="하이인덱스",16,0))))&amp;")")))</x:f>
        <x:v>통과</x:v>
      </x:c>
    </x:row>
    <x:row r="28" ht="76" customHeight="1">
      <x:c r="A28" s="2" t="str">
        <x:v>L027</x:v>
      </x:c>
      <x:c r="B28" s="10" t="str">
        <x:v>폴리카보네이트</x:v>
      </x:c>
      <x:c r="C28" s="10" t="str">
        <x:v>크리스탈렌즈 선글라스틴트 006</x:v>
      </x:c>
      <x:c r="D28" s="7" t="n">
        <x:v>1</x:v>
      </x:c>
      <x:c r="E28" s="7" t="n">
        <x:v>1</x:v>
      </x:c>
      <x:c r="F28" s="7" t="n">
        <x:v>0</x:v>
      </x:c>
      <x:c r="G28" s="7" t="n">
        <x:v>1.59</x:v>
      </x:c>
      <x:c r="H28" s="7" t="n">
        <x:v>94.2</x:v>
      </x:c>
      <x:c r="I28" s="7" t="n">
        <x:v>1.1</x:v>
      </x:c>
      <x:c r="J28" s="7" t="n">
        <x:v>70.96</x:v>
      </x:c>
      <x:c r="K28" s="7" t="n">
        <x:v>1.87</x:v>
      </x:c>
      <x:c r="L28" s="7" t="n">
        <x:v>1.42</x:v>
      </x:c>
      <x:c r="M28" s="7" t="n">
        <x:v>80.9</x:v>
      </x:c>
      <x:c r="N28" s="7" t="n">
        <x:v>98.9</x:v>
      </x:c>
      <x:c r="O28" s="7" t="n">
        <x:v>1.6</x:v>
      </x:c>
      <x:c r="P28" s="7" t="n">
        <x:v>13.5</x:v>
      </x:c>
      <x:c r="Q28" s="2" t="str">
        <x:f>IF(OR(LEFT(U28,3)="불합격",LEFT(V28,3)="불합격",LEFT(W28,3)="불합격",LEFT(X28,3)="불합격",LEFT(Y28,3)="불합격",LEFT(Z28,3)="불합격",LEFT(AA28,3)="불합격",LEFT(AB28,3)="불합격",LEFT(AC28,3)="불합격",LEFT(AD28,3)="불합격",LEFT(AE28,3)="불합격",LEFT(AF28,3)="불합격",LEFT(AG28,3)="불합격"),"불합격",IF(AND(U28="통과",V28="통과",W28="통과",X28="통과",Y28="통과",Z28="통과",AA28="통과",AB28="통과",AC28="통과",AD28="통과",AE28="통과",AF28="통과",AG28="통과"),"합격","판정불가"))</x:f>
        <x:v>불합격</x:v>
      </x:c>
      <x:c r="R28" s="9" t="str">
        <x:f>IF(Q28="합격","13개 항목 모두 허용범위 이내",IF(U28="통과","",U28&amp;CHAR(10))&amp;IF(V28="통과","",V28&amp;CHAR(10))&amp;IF(W28="통과","",W28&amp;CHAR(10))&amp;IF(X28="통과","",X28&amp;CHAR(10))&amp;IF(Y28="통과","",Y28&amp;CHAR(10))&amp;IF(Z28="통과","",Z28&amp;CHAR(10))&amp;IF(AA28="통과","",AA28&amp;CHAR(10))&amp;IF(AB28="통과","",AB28&amp;CHAR(10))&amp;IF(AC28="통과","",AC28&amp;CHAR(10))&amp;IF(AD28="통과","",AD28&amp;CHAR(10))&amp;IF(AE28="통과","",AE28&amp;CHAR(10))&amp;IF(AF28="통과","",AF28&amp;CHAR(10))&amp;IF(AG28="통과","",AG28&amp;CHAR(10)))</x:f>
        <x:v>불합격: UV차단율 98.9 (허용 99~100)
불합격: 색상균일도 1.6 (허용 0~1.5)
불합격: 틴트농도 13.5 (허용 17~23)
</x:v>
      </x:c>
      <x:c r="S28" s="2" t="str">
        <x:v>불량</x:v>
      </x:c>
      <x:c r="T28" s="9" t="str">
        <x:v>UV차단율, 색상균일도, 틴트농도</x:v>
      </x:c>
      <x:c r="U28" s="2" t="str">
        <x:f>IF(NOT(ISNUMBER(D28)),"판정불가: 스크래치등급 누락",IF(AND(D28&gt;='기준표'!$D$2,D28&lt;='기준표'!$F$2),"통과","불합격: 스크래치등급 "&amp;D28&amp;" (허용 "&amp;'기준표'!$D$2&amp;"~"&amp;'기준표'!$F$2&amp;")"))</x:f>
        <x:v>통과</x:v>
      </x:c>
      <x:c r="V28" s="2" t="str">
        <x:f>IF(NOT(ISNUMBER(E28)),"판정불가: 기포이물질개수 누락",IF(AND(E28&gt;='기준표'!$D$3,E28&lt;='기준표'!$F$3),"통과","불합격: 기포이물질개수 "&amp;E28&amp;" (허용 "&amp;'기준표'!$D$3&amp;"~"&amp;'기준표'!$F$3&amp;")"))</x:f>
        <x:v>통과</x:v>
      </x:c>
      <x:c r="W28" s="2" t="str">
        <x:f>IF(NOT(ISNUMBER(F28)),"판정불가: 코팅불량개수 누락",IF(AND(F28&gt;='기준표'!$D$4,F28&lt;='기준표'!$F$4),"통과","불합격: 코팅불량개수 "&amp;F28&amp;" (허용 "&amp;'기준표'!$D$4&amp;"~"&amp;'기준표'!$F$4&amp;")"))</x:f>
        <x:v>통과</x:v>
      </x:c>
      <x:c r="X28" s="2" t="str">
        <x:f>IF(NOT(ISNUMBER(H28)),"판정불가: 광투과율 누락",IF(AND(H28&gt;='기준표'!$D$5,H28&lt;='기준표'!$F$5),"통과","불합격: 광투과율 "&amp;H28&amp;" (허용 "&amp;'기준표'!$D$5&amp;"~"&amp;'기준표'!$F$5&amp;")"))</x:f>
        <x:v>통과</x:v>
      </x:c>
      <x:c r="Y28" s="2" t="str">
        <x:f>IF(NOT(ISNUMBER(I28)),"판정불가: 왜곡률 누락",IF(AND(I28&gt;='기준표'!$D$6,I28&lt;='기준표'!$F$6),"통과","불합격: 왜곡률 "&amp;I28&amp;" (허용 "&amp;'기준표'!$D$6&amp;"~"&amp;'기준표'!$F$6&amp;")"))</x:f>
        <x:v>통과</x:v>
      </x:c>
      <x:c r="Z28" s="2" t="str">
        <x:f>IF(NOT(ISNUMBER(J28)),"판정불가: 렌즈직경 누락",IF(AND(J28&gt;='기준표'!$D$7,J28&lt;='기준표'!$F$7),"통과","불합격: 렌즈직경 "&amp;J28&amp;" (허용 "&amp;'기준표'!$D$7&amp;"~"&amp;'기준표'!$F$7&amp;")"))</x:f>
        <x:v>통과</x:v>
      </x:c>
      <x:c r="AA28" s="2" t="str">
        <x:f>IF(NOT(ISNUMBER(K28)),"판정불가: 중심두께 누락",IF(AND(K28&gt;='기준표'!$D$8,K28&lt;='기준표'!$F$8),"통과","불합격: 중심두께 "&amp;K28&amp;" (허용 "&amp;'기준표'!$D$8&amp;"~"&amp;'기준표'!$F$8&amp;")"))</x:f>
        <x:v>통과</x:v>
      </x:c>
      <x:c r="AB28" s="2" t="str">
        <x:f>IF(NOT(ISNUMBER(L28)),"판정불가: 가장자리두께 누락",IF(AND(L28&gt;='기준표'!$D$9,L28&lt;='기준표'!$F$9),"통과","불합격: 가장자리두께 "&amp;L28&amp;" (허용 "&amp;'기준표'!$D$9&amp;"~"&amp;'기준표'!$F$9&amp;")"))</x:f>
        <x:v>통과</x:v>
      </x:c>
      <x:c r="AC28" s="2" t="str">
        <x:f>IF(NOT(ISNUMBER(M28)),"판정불가: 곡률반경 누락",IF(AND(M28&gt;='기준표'!$D$10,M28&lt;='기준표'!$F$10),"통과","불합격: 곡률반경 "&amp;M28&amp;" (허용 "&amp;'기준표'!$D$10&amp;"~"&amp;'기준표'!$F$10&amp;")"))</x:f>
        <x:v>통과</x:v>
      </x:c>
      <x:c r="AD28" s="2" t="str">
        <x:f>IF(NOT(ISNUMBER(N28)),"판정불가: UV차단율 누락",IF(AND(N28&gt;='기준표'!$D$11,N28&lt;='기준표'!$F$11),"통과","불합격: UV차단율 "&amp;N28&amp;" (허용 "&amp;'기준표'!$D$11&amp;"~"&amp;'기준표'!$F$11&amp;")"))</x:f>
        <x:v>불합격: UV차단율 98.9 (허용 99~100)</x:v>
      </x:c>
      <x:c r="AE28" s="2" t="str">
        <x:f>IF(NOT(ISNUMBER(O28)),"판정불가: 색상균일도 누락",IF(AND(O28&gt;='기준표'!$D$12,O28&lt;='기준표'!$F$12),"통과","불합격: 색상균일도 "&amp;O28&amp;" (허용 "&amp;'기준표'!$D$12&amp;"~"&amp;'기준표'!$F$12&amp;")"))</x:f>
        <x:v>불합격: 색상균일도 1.6 (허용 0~1.5)</x:v>
      </x:c>
      <x:c r="AF28" s="2" t="str">
        <x:f>IF(NOT(ISNUMBER(P28)),"판정불가: 틴트농도 누락",IF(AND(P28&gt;='기준표'!$D$13,P28&lt;='기준표'!$F$13),"통과","불합격: 틴트농도 "&amp;P28&amp;" (허용 "&amp;'기준표'!$D$13&amp;"~"&amp;'기준표'!$F$13&amp;")"))</x:f>
        <x:v>불합격: 틴트농도 13.5 (허용 17~23)</x:v>
      </x:c>
      <x:c r="AG28" s="2" t="str">
        <x:f>IF(IF(B28="CR-39",14,IF(B28="폴리카보네이트",15,IF(B28="하이인덱스",16,0)))=0,"판정불가: 소재 기준 없음",IF(NOT(ISNUMBER(G28)),"판정불가: 굴절률 누락",IF(AND(G28&gt;=INDEX('기준표'!$D$1:$D$16,IF(B28="CR-39",14,IF(B28="폴리카보네이트",15,IF(B28="하이인덱스",16,0)))),G28&lt;=INDEX('기준표'!$F$1:$F$16,IF(B28="CR-39",14,IF(B28="폴리카보네이트",15,IF(B28="하이인덱스",16,0))))),"통과","불합격: 굴절률 "&amp;G28&amp;" (허용 "&amp;INDEX('기준표'!$D$1:$D$16,IF(B28="CR-39",14,IF(B28="폴리카보네이트",15,IF(B28="하이인덱스",16,0))))&amp;"~"&amp;INDEX('기준표'!$F$1:$F$16,IF(B28="CR-39",14,IF(B28="폴리카보네이트",15,IF(B28="하이인덱스",16,0))))&amp;")")))</x:f>
        <x:v>통과</x:v>
      </x:c>
    </x:row>
    <x:row r="29" ht="76" customHeight="1">
      <x:c r="A29" s="2" t="str">
        <x:v>L028</x:v>
      </x:c>
      <x:c r="B29" s="10" t="str">
        <x:v>폴리카보네이트</x:v>
      </x:c>
      <x:c r="C29" s="10" t="str">
        <x:v>크리스탈렌즈 UV프로텍트 026</x:v>
      </x:c>
      <x:c r="D29" s="7" t="n">
        <x:v>1</x:v>
      </x:c>
      <x:c r="E29" s="7" t="n">
        <x:v>1</x:v>
      </x:c>
      <x:c r="F29" s="7" t="n">
        <x:v>1</x:v>
      </x:c>
      <x:c r="G29" s="7" t="n">
        <x:v>1.584</x:v>
      </x:c>
      <x:c r="H29" s="7" t="n">
        <x:v>97.4</x:v>
      </x:c>
      <x:c r="I29" s="7" t="n">
        <x:v>0.4</x:v>
      </x:c>
      <x:c r="J29" s="7" t="n">
        <x:v>72.94</x:v>
      </x:c>
      <x:c r="K29" s="7" t="n">
        <x:v>2.18</x:v>
      </x:c>
      <x:c r="L29" s="7" t="n">
        <x:v>1.41</x:v>
      </x:c>
      <x:c r="M29" s="7" t="n">
        <x:v>74.7</x:v>
      </x:c>
      <x:c r="N29" s="7" t="n">
        <x:v>99</x:v>
      </x:c>
      <x:c r="O29" s="7" t="n">
        <x:v>0.45</x:v>
      </x:c>
      <x:c r="P29" s="7" t="n">
        <x:v>21</x:v>
      </x:c>
      <x:c r="Q29" s="2" t="str">
        <x:f>IF(OR(LEFT(U29,3)="불합격",LEFT(V29,3)="불합격",LEFT(W29,3)="불합격",LEFT(X29,3)="불합격",LEFT(Y29,3)="불합격",LEFT(Z29,3)="불합격",LEFT(AA29,3)="불합격",LEFT(AB29,3)="불합격",LEFT(AC29,3)="불합격",LEFT(AD29,3)="불합격",LEFT(AE29,3)="불합격",LEFT(AF29,3)="불합격",LEFT(AG29,3)="불합격"),"불합격",IF(AND(U29="통과",V29="통과",W29="통과",X29="통과",Y29="통과",Z29="통과",AA29="통과",AB29="통과",AC29="통과",AD29="통과",AE29="통과",AF29="통과",AG29="통과"),"합격","판정불가"))</x:f>
        <x:v>합격</x:v>
      </x:c>
      <x:c r="R29" s="9" t="str">
        <x:f>IF(Q29="합격","13개 항목 모두 허용범위 이내",IF(U29="통과","",U29&amp;CHAR(10))&amp;IF(V29="통과","",V29&amp;CHAR(10))&amp;IF(W29="통과","",W29&amp;CHAR(10))&amp;IF(X29="통과","",X29&amp;CHAR(10))&amp;IF(Y29="통과","",Y29&amp;CHAR(10))&amp;IF(Z29="통과","",Z29&amp;CHAR(10))&amp;IF(AA29="통과","",AA29&amp;CHAR(10))&amp;IF(AB29="통과","",AB29&amp;CHAR(10))&amp;IF(AC29="통과","",AC29&amp;CHAR(10))&amp;IF(AD29="통과","",AD29&amp;CHAR(10))&amp;IF(AE29="통과","",AE29&amp;CHAR(10))&amp;IF(AF29="통과","",AF29&amp;CHAR(10))&amp;IF(AG29="통과","",AG29&amp;CHAR(10)))</x:f>
        <x:v>13개 항목 모두 허용범위 이내</x:v>
      </x:c>
      <x:c r="S29" s="2" t="str">
        <x:v>합격</x:v>
      </x:c>
      <x:c r="T29" s="9"/>
      <x:c r="U29" s="2" t="str">
        <x:f>IF(NOT(ISNUMBER(D29)),"판정불가: 스크래치등급 누락",IF(AND(D29&gt;='기준표'!$D$2,D29&lt;='기준표'!$F$2),"통과","불합격: 스크래치등급 "&amp;D29&amp;" (허용 "&amp;'기준표'!$D$2&amp;"~"&amp;'기준표'!$F$2&amp;")"))</x:f>
        <x:v>통과</x:v>
      </x:c>
      <x:c r="V29" s="2" t="str">
        <x:f>IF(NOT(ISNUMBER(E29)),"판정불가: 기포이물질개수 누락",IF(AND(E29&gt;='기준표'!$D$3,E29&lt;='기준표'!$F$3),"통과","불합격: 기포이물질개수 "&amp;E29&amp;" (허용 "&amp;'기준표'!$D$3&amp;"~"&amp;'기준표'!$F$3&amp;")"))</x:f>
        <x:v>통과</x:v>
      </x:c>
      <x:c r="W29" s="2" t="str">
        <x:f>IF(NOT(ISNUMBER(F29)),"판정불가: 코팅불량개수 누락",IF(AND(F29&gt;='기준표'!$D$4,F29&lt;='기준표'!$F$4),"통과","불합격: 코팅불량개수 "&amp;F29&amp;" (허용 "&amp;'기준표'!$D$4&amp;"~"&amp;'기준표'!$F$4&amp;")"))</x:f>
        <x:v>통과</x:v>
      </x:c>
      <x:c r="X29" s="2" t="str">
        <x:f>IF(NOT(ISNUMBER(H29)),"판정불가: 광투과율 누락",IF(AND(H29&gt;='기준표'!$D$5,H29&lt;='기준표'!$F$5),"통과","불합격: 광투과율 "&amp;H29&amp;" (허용 "&amp;'기준표'!$D$5&amp;"~"&amp;'기준표'!$F$5&amp;")"))</x:f>
        <x:v>통과</x:v>
      </x:c>
      <x:c r="Y29" s="2" t="str">
        <x:f>IF(NOT(ISNUMBER(I29)),"판정불가: 왜곡률 누락",IF(AND(I29&gt;='기준표'!$D$6,I29&lt;='기준표'!$F$6),"통과","불합격: 왜곡률 "&amp;I29&amp;" (허용 "&amp;'기준표'!$D$6&amp;"~"&amp;'기준표'!$F$6&amp;")"))</x:f>
        <x:v>통과</x:v>
      </x:c>
      <x:c r="Z29" s="2" t="str">
        <x:f>IF(NOT(ISNUMBER(J29)),"판정불가: 렌즈직경 누락",IF(AND(J29&gt;='기준표'!$D$7,J29&lt;='기준표'!$F$7),"통과","불합격: 렌즈직경 "&amp;J29&amp;" (허용 "&amp;'기준표'!$D$7&amp;"~"&amp;'기준표'!$F$7&amp;")"))</x:f>
        <x:v>통과</x:v>
      </x:c>
      <x:c r="AA29" s="2" t="str">
        <x:f>IF(NOT(ISNUMBER(K29)),"판정불가: 중심두께 누락",IF(AND(K29&gt;='기준표'!$D$8,K29&lt;='기준표'!$F$8),"통과","불합격: 중심두께 "&amp;K29&amp;" (허용 "&amp;'기준표'!$D$8&amp;"~"&amp;'기준표'!$F$8&amp;")"))</x:f>
        <x:v>통과</x:v>
      </x:c>
      <x:c r="AB29" s="2" t="str">
        <x:f>IF(NOT(ISNUMBER(L29)),"판정불가: 가장자리두께 누락",IF(AND(L29&gt;='기준표'!$D$9,L29&lt;='기준표'!$F$9),"통과","불합격: 가장자리두께 "&amp;L29&amp;" (허용 "&amp;'기준표'!$D$9&amp;"~"&amp;'기준표'!$F$9&amp;")"))</x:f>
        <x:v>통과</x:v>
      </x:c>
      <x:c r="AC29" s="2" t="str">
        <x:f>IF(NOT(ISNUMBER(M29)),"판정불가: 곡률반경 누락",IF(AND(M29&gt;='기준표'!$D$10,M29&lt;='기준표'!$F$10),"통과","불합격: 곡률반경 "&amp;M29&amp;" (허용 "&amp;'기준표'!$D$10&amp;"~"&amp;'기준표'!$F$10&amp;")"))</x:f>
        <x:v>통과</x:v>
      </x:c>
      <x:c r="AD29" s="2" t="str">
        <x:f>IF(NOT(ISNUMBER(N29)),"판정불가: UV차단율 누락",IF(AND(N29&gt;='기준표'!$D$11,N29&lt;='기준표'!$F$11),"통과","불합격: UV차단율 "&amp;N29&amp;" (허용 "&amp;'기준표'!$D$11&amp;"~"&amp;'기준표'!$F$11&amp;")"))</x:f>
        <x:v>통과</x:v>
      </x:c>
      <x:c r="AE29" s="2" t="str">
        <x:f>IF(NOT(ISNUMBER(O29)),"판정불가: 색상균일도 누락",IF(AND(O29&gt;='기준표'!$D$12,O29&lt;='기준표'!$F$12),"통과","불합격: 색상균일도 "&amp;O29&amp;" (허용 "&amp;'기준표'!$D$12&amp;"~"&amp;'기준표'!$F$12&amp;")"))</x:f>
        <x:v>통과</x:v>
      </x:c>
      <x:c r="AF29" s="2" t="str">
        <x:f>IF(NOT(ISNUMBER(P29)),"판정불가: 틴트농도 누락",IF(AND(P29&gt;='기준표'!$D$13,P29&lt;='기준표'!$F$13),"통과","불합격: 틴트농도 "&amp;P29&amp;" (허용 "&amp;'기준표'!$D$13&amp;"~"&amp;'기준표'!$F$13&amp;")"))</x:f>
        <x:v>통과</x:v>
      </x:c>
      <x:c r="AG29" s="2" t="str">
        <x:f>IF(IF(B29="CR-39",14,IF(B29="폴리카보네이트",15,IF(B29="하이인덱스",16,0)))=0,"판정불가: 소재 기준 없음",IF(NOT(ISNUMBER(G29)),"판정불가: 굴절률 누락",IF(AND(G29&gt;=INDEX('기준표'!$D$1:$D$16,IF(B29="CR-39",14,IF(B29="폴리카보네이트",15,IF(B29="하이인덱스",16,0)))),G29&lt;=INDEX('기준표'!$F$1:$F$16,IF(B29="CR-39",14,IF(B29="폴리카보네이트",15,IF(B29="하이인덱스",16,0))))),"통과","불합격: 굴절률 "&amp;G29&amp;" (허용 "&amp;INDEX('기준표'!$D$1:$D$16,IF(B29="CR-39",14,IF(B29="폴리카보네이트",15,IF(B29="하이인덱스",16,0))))&amp;"~"&amp;INDEX('기준표'!$F$1:$F$16,IF(B29="CR-39",14,IF(B29="폴리카보네이트",15,IF(B29="하이인덱스",16,0))))&amp;")")))</x:f>
        <x:v>통과</x:v>
      </x:c>
    </x:row>
    <x:row r="30" ht="76" customHeight="1">
      <x:c r="A30" s="2" t="str">
        <x:v>L029</x:v>
      </x:c>
      <x:c r="B30" s="10" t="str">
        <x:v>폴리카보네이트</x:v>
      </x:c>
      <x:c r="C30" s="10" t="str">
        <x:v>클리어뷰 스탠다드 018</x:v>
      </x:c>
      <x:c r="D30" s="7" t="n">
        <x:v>1</x:v>
      </x:c>
      <x:c r="E30" s="7" t="n">
        <x:v>0</x:v>
      </x:c>
      <x:c r="F30" s="7" t="n">
        <x:v>0</x:v>
      </x:c>
      <x:c r="G30" s="7" t="n">
        <x:v>1.592</x:v>
      </x:c>
      <x:c r="H30" s="7" t="n">
        <x:v>94.7</x:v>
      </x:c>
      <x:c r="I30" s="7" t="n">
        <x:v>1</x:v>
      </x:c>
      <x:c r="J30" s="7" t="n">
        <x:v>70.67</x:v>
      </x:c>
      <x:c r="K30" s="7" t="n">
        <x:v>2.06</x:v>
      </x:c>
      <x:c r="L30" s="7" t="n">
        <x:v>1.39</x:v>
      </x:c>
      <x:c r="M30" s="7" t="n">
        <x:v>79.1</x:v>
      </x:c>
      <x:c r="N30" s="7" t="n">
        <x:v>99.9</x:v>
      </x:c>
      <x:c r="O30" s="7" t="n">
        <x:v>0.56</x:v>
      </x:c>
      <x:c r="P30" s="7" t="n">
        <x:v>20.4</x:v>
      </x:c>
      <x:c r="Q30" s="2" t="str">
        <x:f>IF(OR(LEFT(U30,3)="불합격",LEFT(V30,3)="불합격",LEFT(W30,3)="불합격",LEFT(X30,3)="불합격",LEFT(Y30,3)="불합격",LEFT(Z30,3)="불합격",LEFT(AA30,3)="불합격",LEFT(AB30,3)="불합격",LEFT(AC30,3)="불합격",LEFT(AD30,3)="불합격",LEFT(AE30,3)="불합격",LEFT(AF30,3)="불합격",LEFT(AG30,3)="불합격"),"불합격",IF(AND(U30="통과",V30="통과",W30="통과",X30="통과",Y30="통과",Z30="통과",AA30="통과",AB30="통과",AC30="통과",AD30="통과",AE30="통과",AF30="통과",AG30="통과"),"합격","판정불가"))</x:f>
        <x:v>합격</x:v>
      </x:c>
      <x:c r="R30" s="9" t="str">
        <x:f>IF(Q30="합격","13개 항목 모두 허용범위 이내",IF(U30="통과","",U30&amp;CHAR(10))&amp;IF(V30="통과","",V30&amp;CHAR(10))&amp;IF(W30="통과","",W30&amp;CHAR(10))&amp;IF(X30="통과","",X30&amp;CHAR(10))&amp;IF(Y30="통과","",Y30&amp;CHAR(10))&amp;IF(Z30="통과","",Z30&amp;CHAR(10))&amp;IF(AA30="통과","",AA30&amp;CHAR(10))&amp;IF(AB30="통과","",AB30&amp;CHAR(10))&amp;IF(AC30="통과","",AC30&amp;CHAR(10))&amp;IF(AD30="통과","",AD30&amp;CHAR(10))&amp;IF(AE30="통과","",AE30&amp;CHAR(10))&amp;IF(AF30="통과","",AF30&amp;CHAR(10))&amp;IF(AG30="통과","",AG30&amp;CHAR(10)))</x:f>
        <x:v>13개 항목 모두 허용범위 이내</x:v>
      </x:c>
      <x:c r="S30" s="2" t="str">
        <x:v>합격</x:v>
      </x:c>
      <x:c r="T30" s="9"/>
      <x:c r="U30" s="2" t="str">
        <x:f>IF(NOT(ISNUMBER(D30)),"판정불가: 스크래치등급 누락",IF(AND(D30&gt;='기준표'!$D$2,D30&lt;='기준표'!$F$2),"통과","불합격: 스크래치등급 "&amp;D30&amp;" (허용 "&amp;'기준표'!$D$2&amp;"~"&amp;'기준표'!$F$2&amp;")"))</x:f>
        <x:v>통과</x:v>
      </x:c>
      <x:c r="V30" s="2" t="str">
        <x:f>IF(NOT(ISNUMBER(E30)),"판정불가: 기포이물질개수 누락",IF(AND(E30&gt;='기준표'!$D$3,E30&lt;='기준표'!$F$3),"통과","불합격: 기포이물질개수 "&amp;E30&amp;" (허용 "&amp;'기준표'!$D$3&amp;"~"&amp;'기준표'!$F$3&amp;")"))</x:f>
        <x:v>통과</x:v>
      </x:c>
      <x:c r="W30" s="2" t="str">
        <x:f>IF(NOT(ISNUMBER(F30)),"판정불가: 코팅불량개수 누락",IF(AND(F30&gt;='기준표'!$D$4,F30&lt;='기준표'!$F$4),"통과","불합격: 코팅불량개수 "&amp;F30&amp;" (허용 "&amp;'기준표'!$D$4&amp;"~"&amp;'기준표'!$F$4&amp;")"))</x:f>
        <x:v>통과</x:v>
      </x:c>
      <x:c r="X30" s="2" t="str">
        <x:f>IF(NOT(ISNUMBER(H30)),"판정불가: 광투과율 누락",IF(AND(H30&gt;='기준표'!$D$5,H30&lt;='기준표'!$F$5),"통과","불합격: 광투과율 "&amp;H30&amp;" (허용 "&amp;'기준표'!$D$5&amp;"~"&amp;'기준표'!$F$5&amp;")"))</x:f>
        <x:v>통과</x:v>
      </x:c>
      <x:c r="Y30" s="2" t="str">
        <x:f>IF(NOT(ISNUMBER(I30)),"판정불가: 왜곡률 누락",IF(AND(I30&gt;='기준표'!$D$6,I30&lt;='기준표'!$F$6),"통과","불합격: 왜곡률 "&amp;I30&amp;" (허용 "&amp;'기준표'!$D$6&amp;"~"&amp;'기준표'!$F$6&amp;")"))</x:f>
        <x:v>통과</x:v>
      </x:c>
      <x:c r="Z30" s="2" t="str">
        <x:f>IF(NOT(ISNUMBER(J30)),"판정불가: 렌즈직경 누락",IF(AND(J30&gt;='기준표'!$D$7,J30&lt;='기준표'!$F$7),"통과","불합격: 렌즈직경 "&amp;J30&amp;" (허용 "&amp;'기준표'!$D$7&amp;"~"&amp;'기준표'!$F$7&amp;")"))</x:f>
        <x:v>통과</x:v>
      </x:c>
      <x:c r="AA30" s="2" t="str">
        <x:f>IF(NOT(ISNUMBER(K30)),"판정불가: 중심두께 누락",IF(AND(K30&gt;='기준표'!$D$8,K30&lt;='기준표'!$F$8),"통과","불합격: 중심두께 "&amp;K30&amp;" (허용 "&amp;'기준표'!$D$8&amp;"~"&amp;'기준표'!$F$8&amp;")"))</x:f>
        <x:v>통과</x:v>
      </x:c>
      <x:c r="AB30" s="2" t="str">
        <x:f>IF(NOT(ISNUMBER(L30)),"판정불가: 가장자리두께 누락",IF(AND(L30&gt;='기준표'!$D$9,L30&lt;='기준표'!$F$9),"통과","불합격: 가장자리두께 "&amp;L30&amp;" (허용 "&amp;'기준표'!$D$9&amp;"~"&amp;'기준표'!$F$9&amp;")"))</x:f>
        <x:v>통과</x:v>
      </x:c>
      <x:c r="AC30" s="2" t="str">
        <x:f>IF(NOT(ISNUMBER(M30)),"판정불가: 곡률반경 누락",IF(AND(M30&gt;='기준표'!$D$10,M30&lt;='기준표'!$F$10),"통과","불합격: 곡률반경 "&amp;M30&amp;" (허용 "&amp;'기준표'!$D$10&amp;"~"&amp;'기준표'!$F$10&amp;")"))</x:f>
        <x:v>통과</x:v>
      </x:c>
      <x:c r="AD30" s="2" t="str">
        <x:f>IF(NOT(ISNUMBER(N30)),"판정불가: UV차단율 누락",IF(AND(N30&gt;='기준표'!$D$11,N30&lt;='기준표'!$F$11),"통과","불합격: UV차단율 "&amp;N30&amp;" (허용 "&amp;'기준표'!$D$11&amp;"~"&amp;'기준표'!$F$11&amp;")"))</x:f>
        <x:v>통과</x:v>
      </x:c>
      <x:c r="AE30" s="2" t="str">
        <x:f>IF(NOT(ISNUMBER(O30)),"판정불가: 색상균일도 누락",IF(AND(O30&gt;='기준표'!$D$12,O30&lt;='기준표'!$F$12),"통과","불합격: 색상균일도 "&amp;O30&amp;" (허용 "&amp;'기준표'!$D$12&amp;"~"&amp;'기준표'!$F$12&amp;")"))</x:f>
        <x:v>통과</x:v>
      </x:c>
      <x:c r="AF30" s="2" t="str">
        <x:f>IF(NOT(ISNUMBER(P30)),"판정불가: 틴트농도 누락",IF(AND(P30&gt;='기준표'!$D$13,P30&lt;='기준표'!$F$13),"통과","불합격: 틴트농도 "&amp;P30&amp;" (허용 "&amp;'기준표'!$D$13&amp;"~"&amp;'기준표'!$F$13&amp;")"))</x:f>
        <x:v>통과</x:v>
      </x:c>
      <x:c r="AG30" s="2" t="str">
        <x:f>IF(IF(B30="CR-39",14,IF(B30="폴리카보네이트",15,IF(B30="하이인덱스",16,0)))=0,"판정불가: 소재 기준 없음",IF(NOT(ISNUMBER(G30)),"판정불가: 굴절률 누락",IF(AND(G30&gt;=INDEX('기준표'!$D$1:$D$16,IF(B30="CR-39",14,IF(B30="폴리카보네이트",15,IF(B30="하이인덱스",16,0)))),G30&lt;=INDEX('기준표'!$F$1:$F$16,IF(B30="CR-39",14,IF(B30="폴리카보네이트",15,IF(B30="하이인덱스",16,0))))),"통과","불합격: 굴절률 "&amp;G30&amp;" (허용 "&amp;INDEX('기준표'!$D$1:$D$16,IF(B30="CR-39",14,IF(B30="폴리카보네이트",15,IF(B30="하이인덱스",16,0))))&amp;"~"&amp;INDEX('기준표'!$F$1:$F$16,IF(B30="CR-39",14,IF(B30="폴리카보네이트",15,IF(B30="하이인덱스",16,0))))&amp;")")))</x:f>
        <x:v>통과</x:v>
      </x:c>
    </x:row>
    <x:row r="31" ht="76" customHeight="1">
      <x:c r="A31" s="2" t="str">
        <x:v>L030</x:v>
      </x:c>
      <x:c r="B31" s="10" t="str">
        <x:v>폴리카보네이트</x:v>
      </x:c>
      <x:c r="C31" s="10" t="str">
        <x:v>퓨어옵틱 선글라스틴트 025</x:v>
      </x:c>
      <x:c r="D31" s="7" t="n">
        <x:v>1</x:v>
      </x:c>
      <x:c r="E31" s="7" t="n">
        <x:v>0</x:v>
      </x:c>
      <x:c r="F31" s="7" t="n">
        <x:v>1</x:v>
      </x:c>
      <x:c r="G31" s="7" t="n">
        <x:v>1.589</x:v>
      </x:c>
      <x:c r="H31" s="7" t="n">
        <x:v>90</x:v>
      </x:c>
      <x:c r="I31" s="7" t="n">
        <x:v>1.8</x:v>
      </x:c>
      <x:c r="J31" s="7" t="n">
        <x:v>72.73</x:v>
      </x:c>
      <x:c r="K31" s="7" t="n">
        <x:v>2.02</x:v>
      </x:c>
      <x:c r="L31" s="7" t="n">
        <x:v>1.84</x:v>
      </x:c>
      <x:c r="M31" s="7" t="n">
        <x:v>79.3</x:v>
      </x:c>
      <x:c r="N31" s="7" t="n">
        <x:v>99.5</x:v>
      </x:c>
      <x:c r="O31" s="7" t="n">
        <x:v>0.34</x:v>
      </x:c>
      <x:c r="P31" s="7" t="n">
        <x:v>22.5</x:v>
      </x:c>
      <x:c r="Q31" s="2" t="str">
        <x:f>IF(OR(LEFT(U31,3)="불합격",LEFT(V31,3)="불합격",LEFT(W31,3)="불합격",LEFT(X31,3)="불합격",LEFT(Y31,3)="불합격",LEFT(Z31,3)="불합격",LEFT(AA31,3)="불합격",LEFT(AB31,3)="불합격",LEFT(AC31,3)="불합격",LEFT(AD31,3)="불합격",LEFT(AE31,3)="불합격",LEFT(AF31,3)="불합격",LEFT(AG31,3)="불합격"),"불합격",IF(AND(U31="통과",V31="통과",W31="통과",X31="통과",Y31="통과",Z31="통과",AA31="통과",AB31="통과",AC31="통과",AD31="통과",AE31="통과",AF31="통과",AG31="통과"),"합격","판정불가"))</x:f>
        <x:v>합격</x:v>
      </x:c>
      <x:c r="R31" s="9" t="str">
        <x:f>IF(Q31="합격","13개 항목 모두 허용범위 이내",IF(U31="통과","",U31&amp;CHAR(10))&amp;IF(V31="통과","",V31&amp;CHAR(10))&amp;IF(W31="통과","",W31&amp;CHAR(10))&amp;IF(X31="통과","",X31&amp;CHAR(10))&amp;IF(Y31="통과","",Y31&amp;CHAR(10))&amp;IF(Z31="통과","",Z31&amp;CHAR(10))&amp;IF(AA31="통과","",AA31&amp;CHAR(10))&amp;IF(AB31="통과","",AB31&amp;CHAR(10))&amp;IF(AC31="통과","",AC31&amp;CHAR(10))&amp;IF(AD31="통과","",AD31&amp;CHAR(10))&amp;IF(AE31="통과","",AE31&amp;CHAR(10))&amp;IF(AF31="통과","",AF31&amp;CHAR(10))&amp;IF(AG31="통과","",AG31&amp;CHAR(10)))</x:f>
        <x:v>13개 항목 모두 허용범위 이내</x:v>
      </x:c>
      <x:c r="S31" s="2" t="str">
        <x:v>합격</x:v>
      </x:c>
      <x:c r="T31" s="9"/>
      <x:c r="U31" s="2" t="str">
        <x:f>IF(NOT(ISNUMBER(D31)),"판정불가: 스크래치등급 누락",IF(AND(D31&gt;='기준표'!$D$2,D31&lt;='기준표'!$F$2),"통과","불합격: 스크래치등급 "&amp;D31&amp;" (허용 "&amp;'기준표'!$D$2&amp;"~"&amp;'기준표'!$F$2&amp;")"))</x:f>
        <x:v>통과</x:v>
      </x:c>
      <x:c r="V31" s="2" t="str">
        <x:f>IF(NOT(ISNUMBER(E31)),"판정불가: 기포이물질개수 누락",IF(AND(E31&gt;='기준표'!$D$3,E31&lt;='기준표'!$F$3),"통과","불합격: 기포이물질개수 "&amp;E31&amp;" (허용 "&amp;'기준표'!$D$3&amp;"~"&amp;'기준표'!$F$3&amp;")"))</x:f>
        <x:v>통과</x:v>
      </x:c>
      <x:c r="W31" s="2" t="str">
        <x:f>IF(NOT(ISNUMBER(F31)),"판정불가: 코팅불량개수 누락",IF(AND(F31&gt;='기준표'!$D$4,F31&lt;='기준표'!$F$4),"통과","불합격: 코팅불량개수 "&amp;F31&amp;" (허용 "&amp;'기준표'!$D$4&amp;"~"&amp;'기준표'!$F$4&amp;")"))</x:f>
        <x:v>통과</x:v>
      </x:c>
      <x:c r="X31" s="2" t="str">
        <x:f>IF(NOT(ISNUMBER(H31)),"판정불가: 광투과율 누락",IF(AND(H31&gt;='기준표'!$D$5,H31&lt;='기준표'!$F$5),"통과","불합격: 광투과율 "&amp;H31&amp;" (허용 "&amp;'기준표'!$D$5&amp;"~"&amp;'기준표'!$F$5&amp;")"))</x:f>
        <x:v>통과</x:v>
      </x:c>
      <x:c r="Y31" s="2" t="str">
        <x:f>IF(NOT(ISNUMBER(I31)),"판정불가: 왜곡률 누락",IF(AND(I31&gt;='기준표'!$D$6,I31&lt;='기준표'!$F$6),"통과","불합격: 왜곡률 "&amp;I31&amp;" (허용 "&amp;'기준표'!$D$6&amp;"~"&amp;'기준표'!$F$6&amp;")"))</x:f>
        <x:v>통과</x:v>
      </x:c>
      <x:c r="Z31" s="2" t="str">
        <x:f>IF(NOT(ISNUMBER(J31)),"판정불가: 렌즈직경 누락",IF(AND(J31&gt;='기준표'!$D$7,J31&lt;='기준표'!$F$7),"통과","불합격: 렌즈직경 "&amp;J31&amp;" (허용 "&amp;'기준표'!$D$7&amp;"~"&amp;'기준표'!$F$7&amp;")"))</x:f>
        <x:v>통과</x:v>
      </x:c>
      <x:c r="AA31" s="2" t="str">
        <x:f>IF(NOT(ISNUMBER(K31)),"판정불가: 중심두께 누락",IF(AND(K31&gt;='기준표'!$D$8,K31&lt;='기준표'!$F$8),"통과","불합격: 중심두께 "&amp;K31&amp;" (허용 "&amp;'기준표'!$D$8&amp;"~"&amp;'기준표'!$F$8&amp;")"))</x:f>
        <x:v>통과</x:v>
      </x:c>
      <x:c r="AB31" s="2" t="str">
        <x:f>IF(NOT(ISNUMBER(L31)),"판정불가: 가장자리두께 누락",IF(AND(L31&gt;='기준표'!$D$9,L31&lt;='기준표'!$F$9),"통과","불합격: 가장자리두께 "&amp;L31&amp;" (허용 "&amp;'기준표'!$D$9&amp;"~"&amp;'기준표'!$F$9&amp;")"))</x:f>
        <x:v>통과</x:v>
      </x:c>
      <x:c r="AC31" s="2" t="str">
        <x:f>IF(NOT(ISNUMBER(M31)),"판정불가: 곡률반경 누락",IF(AND(M31&gt;='기준표'!$D$10,M31&lt;='기준표'!$F$10),"통과","불합격: 곡률반경 "&amp;M31&amp;" (허용 "&amp;'기준표'!$D$10&amp;"~"&amp;'기준표'!$F$10&amp;")"))</x:f>
        <x:v>통과</x:v>
      </x:c>
      <x:c r="AD31" s="2" t="str">
        <x:f>IF(NOT(ISNUMBER(N31)),"판정불가: UV차단율 누락",IF(AND(N31&gt;='기준표'!$D$11,N31&lt;='기준표'!$F$11),"통과","불합격: UV차단율 "&amp;N31&amp;" (허용 "&amp;'기준표'!$D$11&amp;"~"&amp;'기준표'!$F$11&amp;")"))</x:f>
        <x:v>통과</x:v>
      </x:c>
      <x:c r="AE31" s="2" t="str">
        <x:f>IF(NOT(ISNUMBER(O31)),"판정불가: 색상균일도 누락",IF(AND(O31&gt;='기준표'!$D$12,O31&lt;='기준표'!$F$12),"통과","불합격: 색상균일도 "&amp;O31&amp;" (허용 "&amp;'기준표'!$D$12&amp;"~"&amp;'기준표'!$F$12&amp;")"))</x:f>
        <x:v>통과</x:v>
      </x:c>
      <x:c r="AF31" s="2" t="str">
        <x:f>IF(NOT(ISNUMBER(P31)),"판정불가: 틴트농도 누락",IF(AND(P31&gt;='기준표'!$D$13,P31&lt;='기준표'!$F$13),"통과","불합격: 틴트농도 "&amp;P31&amp;" (허용 "&amp;'기준표'!$D$13&amp;"~"&amp;'기준표'!$F$13&amp;")"))</x:f>
        <x:v>통과</x:v>
      </x:c>
      <x:c r="AG31" s="2" t="str">
        <x:f>IF(IF(B31="CR-39",14,IF(B31="폴리카보네이트",15,IF(B31="하이인덱스",16,0)))=0,"판정불가: 소재 기준 없음",IF(NOT(ISNUMBER(G31)),"판정불가: 굴절률 누락",IF(AND(G31&gt;=INDEX('기준표'!$D$1:$D$16,IF(B31="CR-39",14,IF(B31="폴리카보네이트",15,IF(B31="하이인덱스",16,0)))),G31&lt;=INDEX('기준표'!$F$1:$F$16,IF(B31="CR-39",14,IF(B31="폴리카보네이트",15,IF(B31="하이인덱스",16,0))))),"통과","불합격: 굴절률 "&amp;G31&amp;" (허용 "&amp;INDEX('기준표'!$D$1:$D$16,IF(B31="CR-39",14,IF(B31="폴리카보네이트",15,IF(B31="하이인덱스",16,0))))&amp;"~"&amp;INDEX('기준표'!$F$1:$F$16,IF(B31="CR-39",14,IF(B31="폴리카보네이트",15,IF(B31="하이인덱스",16,0))))&amp;")")))</x:f>
        <x:v>통과</x:v>
      </x:c>
    </x:row>
  </x:sheetData>
  <x:conditionalFormatting sqref="Q2:Q31">
    <x:cfRule type="expression" dxfId="0" priority="1">
      <x:formula>Q2="합격"</x:formula>
    </x:cfRule>
    <x:cfRule type="expression" dxfId="1" priority="2">
      <x:formula>Q2="불합격"</x:formula>
    </x:cfRule>
    <x:cfRule type="expression" dxfId="2" priority="3">
      <x:formula>Q2="불량"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2418833fe745f2"/>
  </x:tableParts>
</x:worksheet>
</file>